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B50DEE02-35A2-44E7-AC65-FF8681BD081E}" xr6:coauthVersionLast="47" xr6:coauthVersionMax="47" xr10:uidLastSave="{00000000-0000-0000-0000-000000000000}"/>
  <bookViews>
    <workbookView xWindow="-108" yWindow="-108" windowWidth="23256" windowHeight="12456" xr2:uid="{B10D429F-20AB-4C66-A3AB-4B4877CE8B9D}"/>
  </bookViews>
  <sheets>
    <sheet name="Financial Model DDM (4)" sheetId="12" r:id="rId1"/>
    <sheet name="Summary DDM (4)" sheetId="1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2" i="14" l="1"/>
  <c r="D33" i="14"/>
  <c r="D32" i="14"/>
  <c r="D31" i="14"/>
  <c r="C21" i="14"/>
  <c r="C42" i="14" s="1"/>
  <c r="C20" i="14"/>
  <c r="C19" i="14"/>
  <c r="C18" i="14"/>
  <c r="C17" i="14"/>
  <c r="C14" i="14"/>
  <c r="C13" i="14"/>
  <c r="C12" i="14"/>
  <c r="G7" i="14"/>
  <c r="C6" i="14"/>
  <c r="E35" i="14" s="1"/>
  <c r="J127" i="12"/>
  <c r="I127" i="12"/>
  <c r="H127" i="12"/>
  <c r="G127" i="12"/>
  <c r="F127" i="12"/>
  <c r="E127" i="12"/>
  <c r="D127" i="12"/>
  <c r="I100" i="12"/>
  <c r="H100" i="12"/>
  <c r="G100" i="12"/>
  <c r="F100" i="12"/>
  <c r="E100" i="12"/>
  <c r="I99" i="12"/>
  <c r="H99" i="12"/>
  <c r="G99" i="12"/>
  <c r="F99" i="12"/>
  <c r="E99" i="12"/>
  <c r="D100" i="12"/>
  <c r="D99" i="12"/>
  <c r="L95" i="12"/>
  <c r="K95" i="12"/>
  <c r="D122" i="12" s="1"/>
  <c r="F122" i="12" s="1"/>
  <c r="G32" i="12" s="1"/>
  <c r="I32" i="12" s="1"/>
  <c r="J32" i="12" s="1"/>
  <c r="K32" i="12" s="1"/>
  <c r="J95" i="12"/>
  <c r="L93" i="12"/>
  <c r="K93" i="12"/>
  <c r="D120" i="12" s="1"/>
  <c r="J93" i="12"/>
  <c r="L91" i="12"/>
  <c r="K91" i="12"/>
  <c r="D109" i="12" s="1"/>
  <c r="E118" i="12" s="1"/>
  <c r="J91" i="12"/>
  <c r="L89" i="12"/>
  <c r="K89" i="12"/>
  <c r="D116" i="12" s="1"/>
  <c r="J89" i="12"/>
  <c r="D56" i="14" s="1"/>
  <c r="L87" i="12"/>
  <c r="K87" i="12"/>
  <c r="J87" i="12"/>
  <c r="I88" i="12"/>
  <c r="I90" i="12" s="1"/>
  <c r="I92" i="12" s="1"/>
  <c r="H88" i="12"/>
  <c r="H90" i="12" s="1"/>
  <c r="G88" i="12"/>
  <c r="G90" i="12" s="1"/>
  <c r="G92" i="12" s="1"/>
  <c r="F88" i="12"/>
  <c r="F101" i="12" s="1"/>
  <c r="E88" i="12"/>
  <c r="E90" i="12" s="1"/>
  <c r="E92" i="12" s="1"/>
  <c r="L86" i="12"/>
  <c r="K86" i="12"/>
  <c r="D113" i="12" s="1"/>
  <c r="J86" i="12"/>
  <c r="D55" i="14" s="1"/>
  <c r="D88" i="12"/>
  <c r="D101" i="12" s="1"/>
  <c r="G41" i="12"/>
  <c r="H18" i="12"/>
  <c r="I18" i="12" s="1"/>
  <c r="J18" i="12" s="1"/>
  <c r="K18" i="12" s="1"/>
  <c r="E81" i="12"/>
  <c r="E73" i="12"/>
  <c r="D73" i="12"/>
  <c r="D75" i="12" s="1"/>
  <c r="D79" i="12" s="1"/>
  <c r="C32" i="14" s="1"/>
  <c r="F46" i="12"/>
  <c r="E46" i="12"/>
  <c r="D46" i="12"/>
  <c r="K41" i="12"/>
  <c r="J41" i="12"/>
  <c r="I41" i="12"/>
  <c r="I46" i="12" s="1"/>
  <c r="H41" i="12"/>
  <c r="H46" i="12" s="1"/>
  <c r="F39" i="12"/>
  <c r="E74" i="12" s="1"/>
  <c r="E39" i="12"/>
  <c r="E40" i="12" s="1"/>
  <c r="E42" i="12" s="1"/>
  <c r="D39" i="12"/>
  <c r="D40" i="12" s="1"/>
  <c r="D42" i="12" s="1"/>
  <c r="K38" i="12"/>
  <c r="H58" i="12" s="1"/>
  <c r="J38" i="12"/>
  <c r="G58" i="12" s="1"/>
  <c r="I38" i="12"/>
  <c r="F58" i="12" s="1"/>
  <c r="H38" i="12"/>
  <c r="E58" i="12" s="1"/>
  <c r="G38" i="12"/>
  <c r="D58" i="12" s="1"/>
  <c r="F38" i="12"/>
  <c r="E38" i="12"/>
  <c r="D38" i="12"/>
  <c r="K37" i="12"/>
  <c r="J37" i="12"/>
  <c r="I37" i="12"/>
  <c r="H37" i="12"/>
  <c r="G37" i="12"/>
  <c r="F37" i="12"/>
  <c r="E37" i="12"/>
  <c r="F25" i="12"/>
  <c r="F27" i="12" s="1"/>
  <c r="F29" i="12" s="1"/>
  <c r="F31" i="12" s="1"/>
  <c r="E25" i="12"/>
  <c r="E27" i="12" s="1"/>
  <c r="E29" i="12" s="1"/>
  <c r="E31" i="12" s="1"/>
  <c r="D25" i="12"/>
  <c r="D27" i="12" s="1"/>
  <c r="D29" i="12" s="1"/>
  <c r="D31" i="12" s="1"/>
  <c r="H21" i="12"/>
  <c r="F15" i="12"/>
  <c r="E15" i="12"/>
  <c r="D15" i="12"/>
  <c r="F14" i="12"/>
  <c r="E14" i="12"/>
  <c r="D14" i="12"/>
  <c r="F13" i="12"/>
  <c r="E13" i="12"/>
  <c r="D13" i="12"/>
  <c r="I12" i="12"/>
  <c r="J12" i="12" s="1"/>
  <c r="K12" i="12" s="1"/>
  <c r="F12" i="12"/>
  <c r="E12" i="12"/>
  <c r="D9" i="12"/>
  <c r="C131" i="12" s="1"/>
  <c r="B131" i="12" s="1"/>
  <c r="G33" i="14" l="1"/>
  <c r="C15" i="14"/>
  <c r="C44" i="14" s="1"/>
  <c r="C56" i="14"/>
  <c r="E56" i="14" s="1"/>
  <c r="C55" i="14"/>
  <c r="E55" i="14" s="1"/>
  <c r="G32" i="14"/>
  <c r="D34" i="14"/>
  <c r="E32" i="14"/>
  <c r="K99" i="12"/>
  <c r="E106" i="12" s="1"/>
  <c r="J99" i="12"/>
  <c r="J100" i="12"/>
  <c r="K100" i="12"/>
  <c r="L100" i="12"/>
  <c r="L99" i="12"/>
  <c r="E101" i="12"/>
  <c r="D114" i="12"/>
  <c r="D115" i="12" s="1"/>
  <c r="D118" i="12"/>
  <c r="F118" i="12" s="1"/>
  <c r="G28" i="12" s="1"/>
  <c r="G15" i="12" s="1"/>
  <c r="H15" i="12" s="1"/>
  <c r="E113" i="12"/>
  <c r="F113" i="12" s="1"/>
  <c r="G23" i="12" s="1"/>
  <c r="E102" i="12"/>
  <c r="E94" i="12"/>
  <c r="E96" i="12" s="1"/>
  <c r="G102" i="12"/>
  <c r="G94" i="12"/>
  <c r="G96" i="12" s="1"/>
  <c r="K90" i="12"/>
  <c r="H92" i="12"/>
  <c r="I94" i="12"/>
  <c r="I96" i="12" s="1"/>
  <c r="I102" i="12"/>
  <c r="F90" i="12"/>
  <c r="F92" i="12" s="1"/>
  <c r="C132" i="12"/>
  <c r="B132" i="12" s="1"/>
  <c r="C133" i="12"/>
  <c r="B133" i="12" s="1"/>
  <c r="G101" i="12"/>
  <c r="L88" i="12"/>
  <c r="L101" i="12" s="1"/>
  <c r="D60" i="12"/>
  <c r="I101" i="12"/>
  <c r="C130" i="12"/>
  <c r="B130" i="12" s="1"/>
  <c r="C134" i="12"/>
  <c r="B134" i="12" s="1"/>
  <c r="E60" i="12"/>
  <c r="F40" i="12"/>
  <c r="F42" i="12" s="1"/>
  <c r="E43" i="12" s="1"/>
  <c r="J88" i="12"/>
  <c r="J101" i="12" s="1"/>
  <c r="D58" i="14" s="1"/>
  <c r="D90" i="12"/>
  <c r="K88" i="12"/>
  <c r="K101" i="12" s="1"/>
  <c r="C58" i="14" s="1"/>
  <c r="C128" i="12"/>
  <c r="B128" i="12" s="1"/>
  <c r="H101" i="12"/>
  <c r="C129" i="12"/>
  <c r="B129" i="12" s="1"/>
  <c r="E116" i="12"/>
  <c r="F116" i="12" s="1"/>
  <c r="G26" i="12" s="1"/>
  <c r="E75" i="12"/>
  <c r="D80" i="12" s="1"/>
  <c r="C33" i="14" s="1"/>
  <c r="E33" i="14" s="1"/>
  <c r="E33" i="12"/>
  <c r="E34" i="12"/>
  <c r="E18" i="12" s="1"/>
  <c r="D33" i="12"/>
  <c r="D34" i="12"/>
  <c r="D18" i="12" s="1"/>
  <c r="G19" i="14" s="1"/>
  <c r="F33" i="12"/>
  <c r="F34" i="12"/>
  <c r="F18" i="12" s="1"/>
  <c r="I21" i="12"/>
  <c r="J21" i="12" s="1"/>
  <c r="G46" i="12"/>
  <c r="F45" i="12"/>
  <c r="F47" i="12" s="1"/>
  <c r="J46" i="12"/>
  <c r="K46" i="12"/>
  <c r="D51" i="12" s="1"/>
  <c r="C40" i="14" s="1"/>
  <c r="F44" i="12"/>
  <c r="E58" i="14" l="1"/>
  <c r="D106" i="12"/>
  <c r="G48" i="14"/>
  <c r="G14" i="12"/>
  <c r="H14" i="12" s="1"/>
  <c r="I14" i="12" s="1"/>
  <c r="J14" i="12" s="1"/>
  <c r="K14" i="12" s="1"/>
  <c r="E114" i="12"/>
  <c r="F114" i="12" s="1"/>
  <c r="G24" i="12" s="1"/>
  <c r="G12" i="12"/>
  <c r="C16" i="14" s="1"/>
  <c r="H23" i="12"/>
  <c r="F102" i="12"/>
  <c r="F94" i="12"/>
  <c r="F96" i="12" s="1"/>
  <c r="L90" i="12"/>
  <c r="J90" i="12"/>
  <c r="D92" i="12"/>
  <c r="H102" i="12"/>
  <c r="H94" i="12"/>
  <c r="K92" i="12"/>
  <c r="K102" i="12" s="1"/>
  <c r="C59" i="14" s="1"/>
  <c r="D117" i="12"/>
  <c r="F60" i="12"/>
  <c r="E115" i="12"/>
  <c r="E117" i="12" s="1"/>
  <c r="E119" i="12" s="1"/>
  <c r="E120" i="12" s="1"/>
  <c r="I15" i="12"/>
  <c r="H28" i="12"/>
  <c r="K21" i="12"/>
  <c r="H60" i="12" s="1"/>
  <c r="G60" i="12"/>
  <c r="D43" i="12"/>
  <c r="E44" i="12"/>
  <c r="E45" i="12"/>
  <c r="E47" i="12" s="1"/>
  <c r="H26" i="12" l="1"/>
  <c r="G13" i="12"/>
  <c r="H13" i="12" s="1"/>
  <c r="I13" i="12" s="1"/>
  <c r="J13" i="12" s="1"/>
  <c r="G25" i="12"/>
  <c r="G27" i="12" s="1"/>
  <c r="G29" i="12" s="1"/>
  <c r="I23" i="12"/>
  <c r="I26" i="12" s="1"/>
  <c r="F115" i="12"/>
  <c r="F117" i="12"/>
  <c r="D119" i="12"/>
  <c r="K94" i="12"/>
  <c r="C57" i="14" s="1"/>
  <c r="H96" i="12"/>
  <c r="K96" i="12" s="1"/>
  <c r="L92" i="12"/>
  <c r="L102" i="12" s="1"/>
  <c r="D102" i="12"/>
  <c r="D94" i="12"/>
  <c r="J92" i="12"/>
  <c r="J102" i="12" s="1"/>
  <c r="D59" i="14" s="1"/>
  <c r="E59" i="14" s="1"/>
  <c r="E121" i="12"/>
  <c r="F120" i="12"/>
  <c r="G30" i="12" s="1"/>
  <c r="D44" i="12"/>
  <c r="D45" i="12"/>
  <c r="D47" i="12" s="1"/>
  <c r="J15" i="12"/>
  <c r="I28" i="12"/>
  <c r="G31" i="12" l="1"/>
  <c r="G33" i="12" s="1"/>
  <c r="H24" i="12"/>
  <c r="H25" i="12" s="1"/>
  <c r="H27" i="12" s="1"/>
  <c r="H29" i="12" s="1"/>
  <c r="H30" i="12" s="1"/>
  <c r="H31" i="12" s="1"/>
  <c r="H34" i="12" s="1"/>
  <c r="J23" i="12"/>
  <c r="J26" i="12" s="1"/>
  <c r="I24" i="12"/>
  <c r="I25" i="12" s="1"/>
  <c r="I27" i="12" s="1"/>
  <c r="I29" i="12" s="1"/>
  <c r="I30" i="12" s="1"/>
  <c r="I31" i="12" s="1"/>
  <c r="I34" i="12" s="1"/>
  <c r="L94" i="12"/>
  <c r="J94" i="12"/>
  <c r="D57" i="14" s="1"/>
  <c r="E57" i="14" s="1"/>
  <c r="D96" i="12"/>
  <c r="D121" i="12"/>
  <c r="F121" i="12" s="1"/>
  <c r="F119" i="12"/>
  <c r="K15" i="12"/>
  <c r="K28" i="12" s="1"/>
  <c r="J28" i="12"/>
  <c r="K13" i="12"/>
  <c r="J24" i="12" l="1"/>
  <c r="J25" i="12" s="1"/>
  <c r="G34" i="12"/>
  <c r="G35" i="12" s="1"/>
  <c r="G39" i="12" s="1"/>
  <c r="G40" i="12" s="1"/>
  <c r="D59" i="12" s="1"/>
  <c r="D61" i="12" s="1"/>
  <c r="D123" i="12"/>
  <c r="C63" i="14" s="1"/>
  <c r="C60" i="14"/>
  <c r="H35" i="12"/>
  <c r="H39" i="12" s="1"/>
  <c r="H40" i="12" s="1"/>
  <c r="E59" i="12" s="1"/>
  <c r="H33" i="12"/>
  <c r="K23" i="12"/>
  <c r="K26" i="12" s="1"/>
  <c r="L96" i="12"/>
  <c r="J96" i="12"/>
  <c r="J27" i="12"/>
  <c r="J29" i="12" s="1"/>
  <c r="I33" i="12"/>
  <c r="I35" i="12"/>
  <c r="C61" i="14" l="1"/>
  <c r="G42" i="12"/>
  <c r="G43" i="12" s="1"/>
  <c r="C62" i="14"/>
  <c r="D54" i="12"/>
  <c r="D55" i="12" s="1"/>
  <c r="C28" i="14" s="1"/>
  <c r="K24" i="12"/>
  <c r="K25" i="12" s="1"/>
  <c r="K27" i="12" s="1"/>
  <c r="K29" i="12" s="1"/>
  <c r="K30" i="12" s="1"/>
  <c r="K31" i="12" s="1"/>
  <c r="K34" i="12" s="1"/>
  <c r="E61" i="12"/>
  <c r="H42" i="12"/>
  <c r="H43" i="12" s="1"/>
  <c r="H44" i="12" s="1"/>
  <c r="I39" i="12"/>
  <c r="I40" i="12" s="1"/>
  <c r="F59" i="12" s="1"/>
  <c r="F61" i="12" s="1"/>
  <c r="J30" i="12"/>
  <c r="J31" i="12" s="1"/>
  <c r="J34" i="12" s="1"/>
  <c r="G44" i="12" l="1"/>
  <c r="G45" i="12"/>
  <c r="G47" i="12" s="1"/>
  <c r="H45" i="12"/>
  <c r="H47" i="12" s="1"/>
  <c r="I42" i="12"/>
  <c r="I43" i="12" s="1"/>
  <c r="I45" i="12" s="1"/>
  <c r="I47" i="12" s="1"/>
  <c r="J33" i="12"/>
  <c r="J35" i="12"/>
  <c r="K33" i="12"/>
  <c r="K35" i="12"/>
  <c r="I44" i="12" l="1"/>
  <c r="K39" i="12"/>
  <c r="K40" i="12" s="1"/>
  <c r="H59" i="12" s="1"/>
  <c r="J39" i="12"/>
  <c r="J40" i="12" s="1"/>
  <c r="G59" i="12" s="1"/>
  <c r="G61" i="12" l="1"/>
  <c r="I130" i="12"/>
  <c r="F130" i="12"/>
  <c r="H128" i="12"/>
  <c r="F129" i="12"/>
  <c r="J130" i="12"/>
  <c r="D133" i="12"/>
  <c r="D131" i="12"/>
  <c r="F133" i="12"/>
  <c r="H131" i="12"/>
  <c r="E131" i="12"/>
  <c r="D128" i="12"/>
  <c r="F128" i="12"/>
  <c r="E128" i="12"/>
  <c r="J132" i="12"/>
  <c r="J131" i="12"/>
  <c r="I132" i="12"/>
  <c r="H132" i="12"/>
  <c r="H134" i="12"/>
  <c r="I131" i="12"/>
  <c r="F132" i="12"/>
  <c r="J133" i="12"/>
  <c r="I129" i="12"/>
  <c r="G132" i="12"/>
  <c r="D129" i="12"/>
  <c r="G133" i="12"/>
  <c r="E129" i="12"/>
  <c r="I128" i="12"/>
  <c r="I134" i="12"/>
  <c r="H130" i="12"/>
  <c r="G128" i="12"/>
  <c r="E134" i="12"/>
  <c r="J134" i="12"/>
  <c r="E133" i="12"/>
  <c r="I133" i="12"/>
  <c r="F131" i="12"/>
  <c r="D132" i="12"/>
  <c r="D130" i="12"/>
  <c r="G130" i="12"/>
  <c r="G131" i="12"/>
  <c r="C49" i="14" s="1"/>
  <c r="D49" i="14" s="1"/>
  <c r="F134" i="12"/>
  <c r="H133" i="12"/>
  <c r="J129" i="12"/>
  <c r="G134" i="12"/>
  <c r="E132" i="12"/>
  <c r="G129" i="12"/>
  <c r="E130" i="12"/>
  <c r="D134" i="12"/>
  <c r="J128" i="12"/>
  <c r="H129" i="12"/>
  <c r="J42" i="12"/>
  <c r="J43" i="12" s="1"/>
  <c r="J45" i="12" s="1"/>
  <c r="J47" i="12" s="1"/>
  <c r="D63" i="12"/>
  <c r="D64" i="12" s="1"/>
  <c r="H61" i="12"/>
  <c r="K42" i="12"/>
  <c r="D62" i="12" l="1"/>
  <c r="C24" i="14" s="1"/>
  <c r="D65" i="12"/>
  <c r="C26" i="14" s="1"/>
  <c r="C25" i="14"/>
  <c r="D138" i="12"/>
  <c r="C51" i="14" s="1"/>
  <c r="D136" i="12"/>
  <c r="J44" i="12"/>
  <c r="K43" i="12"/>
  <c r="K44" i="12" s="1"/>
  <c r="G25" i="14" l="1"/>
  <c r="E136" i="12"/>
  <c r="C48" i="14"/>
  <c r="D48" i="14" s="1"/>
  <c r="D66" i="12"/>
  <c r="D67" i="12" s="1"/>
  <c r="C52" i="14" s="1"/>
  <c r="K45" i="12"/>
  <c r="D50" i="12" s="1"/>
  <c r="C39" i="14" s="1"/>
  <c r="D78" i="12" l="1"/>
  <c r="C27" i="14"/>
  <c r="K47" i="12"/>
  <c r="D52" i="12" s="1"/>
  <c r="C41" i="14" s="1"/>
  <c r="C43" i="14" s="1"/>
  <c r="D26" i="14" l="1"/>
  <c r="D27" i="14"/>
  <c r="D24" i="14"/>
  <c r="C31" i="14"/>
  <c r="E31" i="14" s="1"/>
  <c r="E34" i="14" s="1"/>
  <c r="E36" i="14" s="1"/>
  <c r="D81" i="12"/>
  <c r="D56" i="12"/>
  <c r="C45" i="14" s="1"/>
  <c r="D137" i="12" a="1"/>
  <c r="D137" i="12" s="1"/>
  <c r="D83" i="12" l="1"/>
  <c r="C7" i="14"/>
  <c r="C8" i="14" s="1"/>
  <c r="C9" i="14" s="1"/>
  <c r="E137" i="12"/>
  <c r="C50" i="14"/>
  <c r="D50" i="1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<sst xmlns="http://schemas.openxmlformats.org/spreadsheetml/2006/main" count="327" uniqueCount="282">
  <si>
    <t>Laporan Laba Rugi</t>
  </si>
  <si>
    <t>Periode</t>
  </si>
  <si>
    <t>Dalam Miliar Rupiah IDR</t>
  </si>
  <si>
    <t>Pendapatan</t>
  </si>
  <si>
    <t>Beban Pokok Penjualan</t>
  </si>
  <si>
    <t>Laba Kotor</t>
  </si>
  <si>
    <t>Beban Usaha</t>
  </si>
  <si>
    <t>Laba Usaha</t>
  </si>
  <si>
    <t>Penghasilan/ Beban Lain lain</t>
  </si>
  <si>
    <t>Laba Sebelum Pajak</t>
  </si>
  <si>
    <t>Beban Pajak Penghasilan</t>
  </si>
  <si>
    <t>Laba Bersih Tahun Berjalan</t>
  </si>
  <si>
    <t>Input(Asumsi)</t>
  </si>
  <si>
    <t>Pertumbuhan Pendapatan</t>
  </si>
  <si>
    <t>HPP (% Pendapatan)</t>
  </si>
  <si>
    <t>Beban Usaha(%Pendapatan)</t>
  </si>
  <si>
    <t>Beban Pajak Penghasilan (Tax Rate)</t>
  </si>
  <si>
    <t>Beta</t>
  </si>
  <si>
    <t>Cost Of Equity</t>
  </si>
  <si>
    <t>Re = Rf + b x (Rm-Rf)</t>
  </si>
  <si>
    <t xml:space="preserve">Risk Free Rate </t>
  </si>
  <si>
    <t>Damodaran</t>
  </si>
  <si>
    <t>BBCA</t>
  </si>
  <si>
    <t>BBRI</t>
  </si>
  <si>
    <t>BBNI</t>
  </si>
  <si>
    <t>P/BV</t>
  </si>
  <si>
    <t>P/E</t>
  </si>
  <si>
    <t>Potensial Upside</t>
  </si>
  <si>
    <t>Equity Risk Premium (Rm-Rf)</t>
  </si>
  <si>
    <t xml:space="preserve">CAPM </t>
  </si>
  <si>
    <t>DDM P0=D1/(r-g)</t>
  </si>
  <si>
    <t>Gordon Growth Model</t>
  </si>
  <si>
    <t>Dividen</t>
  </si>
  <si>
    <t>SBN indonesia (BenchMark)</t>
  </si>
  <si>
    <t>Penghasilan/Beban Lain-lain</t>
  </si>
  <si>
    <t>g Terminal (perpetuitas)</t>
  </si>
  <si>
    <t>Nilai Wajar (DDM)</t>
  </si>
  <si>
    <t>P0 = D1/(r-g)</t>
  </si>
  <si>
    <t>Dividen berikutnya (D1)</t>
  </si>
  <si>
    <t>D1 = dividen dari laba 2026</t>
  </si>
  <si>
    <t>Risk Free Rate (Rf)</t>
  </si>
  <si>
    <t>Bobot</t>
  </si>
  <si>
    <t>Harga Pasar Saat Ini</t>
  </si>
  <si>
    <t>EPS</t>
  </si>
  <si>
    <t>Nilai</t>
  </si>
  <si>
    <t>Kontribusi Terminal Value</t>
  </si>
  <si>
    <t>Laba Bersih Yang Dapat Diatribusikan</t>
  </si>
  <si>
    <t>Pendapatan Komprehensif Lain</t>
  </si>
  <si>
    <t>Jumlah Laba Komprehensif</t>
  </si>
  <si>
    <t>EPS (Laba Diatribusikan / Lembar Beredar)</t>
  </si>
  <si>
    <t>Payout Ratio / DPR</t>
  </si>
  <si>
    <t>Tahun</t>
  </si>
  <si>
    <t>Hak Minoritas (Non-Controlling Interest)</t>
  </si>
  <si>
    <t>Hak Minoritas (% Laba Bersih)</t>
  </si>
  <si>
    <t>Payout Ratio / DPR (2026-2030)</t>
  </si>
  <si>
    <t>Laba Ditahan (Laba Atribusi - Total Dividen)</t>
  </si>
  <si>
    <t>Ekuitas Atribusi (akhir tahun)</t>
  </si>
  <si>
    <t>BVPS (Ekuitas / Lembar Beredar)</t>
  </si>
  <si>
    <t>ROE (Laba Atribusi / Ekuitas)</t>
  </si>
  <si>
    <t>Retention Ratio (1 - DPR)</t>
  </si>
  <si>
    <t>Laba yang tidak dibagikan; menambah ekuitas tahun itu.</t>
  </si>
  <si>
    <t>ROE Terminal (2030)</t>
  </si>
  <si>
    <t>Dividen per Saham</t>
  </si>
  <si>
    <t>Faktor Diskonto @ r</t>
  </si>
  <si>
    <t>Terminal Value akhir 2030</t>
  </si>
  <si>
    <t>RE = Laba Atribusi - (DPS x lembar)</t>
  </si>
  <si>
    <t>Ekuitas_t = Ekuitas_t-1 + RE_t + OCI_t</t>
  </si>
  <si>
    <t>BVPS = Ekuitas / lembar beredar</t>
  </si>
  <si>
    <t>ROE = Laba Atribusi / Ekuitas</t>
  </si>
  <si>
    <t>ROE terminal = ROE kolom 2030 (K45)</t>
  </si>
  <si>
    <t>g = asumsi; syarat g &lt; SGR dan g &lt; r</t>
  </si>
  <si>
    <t>t = jumlah tahun dari 2025 (1 s.d. 5)</t>
  </si>
  <si>
    <t>Dividen = DPR x EPS tahun itu</t>
  </si>
  <si>
    <t>Faktor Diskonto = 1 / (1+r) pangkat t</t>
  </si>
  <si>
    <t>Terminal Value = Dividen 2031 / (r - g)</t>
  </si>
  <si>
    <t>VALUASI SAHAM BMRI - DIVIDEND DISCOUNT MODEL</t>
  </si>
  <si>
    <t>1.  KESIMPULAN</t>
  </si>
  <si>
    <t>Nilai Intrinsik (Blended 3 Metode)</t>
  </si>
  <si>
    <t>Rekomendasi</t>
  </si>
  <si>
    <t>Sumber: harga penutupan pasar</t>
  </si>
  <si>
    <t>2.  ASUMSI KUNCI</t>
  </si>
  <si>
    <t>Sumber / Dasar</t>
  </si>
  <si>
    <t>Yield SBN 10 tahun (benchmark)</t>
  </si>
  <si>
    <t>Equity Risk Premium (Rm - Rf)</t>
  </si>
  <si>
    <t>Cost of Equity (r) = Rf + Beta x ERP</t>
  </si>
  <si>
    <t>CAPM</t>
  </si>
  <si>
    <t>Tarif Pajak Efektif</t>
  </si>
  <si>
    <t>Dividend Payout Ratio Jangka Panjang</t>
  </si>
  <si>
    <t>3.  JEMBATAN NILAI - TWO-STAGE DDM</t>
  </si>
  <si>
    <t>Rp / saham</t>
  </si>
  <si>
    <t>% dari Nilai</t>
  </si>
  <si>
    <t>Stage 1: PV Dividen 2026-2030 (5 tahun eksplisit)</t>
  </si>
  <si>
    <t>Terminal Value posisi akhir 2030 (belum didiskonto)</t>
  </si>
  <si>
    <t>Stage 2: PV Terminal Value (2031 s.d. selamanya)</t>
  </si>
  <si>
    <t>NILAI INTRINSIK DDM (Stage 1 + Stage 2)</t>
  </si>
  <si>
    <t>Pembanding: Gordon 1-Tahap (g berlaku sejak 2026)</t>
  </si>
  <si>
    <t>4.  RINGKASAN METODE &amp; BOBOT</t>
  </si>
  <si>
    <t>Nilai Wajar</t>
  </si>
  <si>
    <t>Kontribusi</t>
  </si>
  <si>
    <t>Income Approach - DDM 2-Stage</t>
  </si>
  <si>
    <t>Market Approach - P/BV Peers</t>
  </si>
  <si>
    <t>Market Approach - P/E Peers</t>
  </si>
  <si>
    <t>BLENDED INTRINSIC VALUE</t>
  </si>
  <si>
    <t>Harga Pasar</t>
  </si>
  <si>
    <t>SAFETY ROOM / UPSIDE</t>
  </si>
  <si>
    <t>Menangkap kemampuan bayar dividen jangka panjang</t>
  </si>
  <si>
    <t>5.  UJI KELAYAKAN ASUMSI g</t>
  </si>
  <si>
    <t>SGR Terminal = ROE x Retention (batas atas g)</t>
  </si>
  <si>
    <t>g Terminal yang dipakai</t>
  </si>
  <si>
    <t>Bantalan (SGR - g)</t>
  </si>
  <si>
    <t>Status</t>
  </si>
  <si>
    <t>Q1 2025</t>
  </si>
  <si>
    <t>Q2 2025</t>
  </si>
  <si>
    <t>Q3 2025</t>
  </si>
  <si>
    <t>Q4 2025</t>
  </si>
  <si>
    <t>Q1 2026</t>
  </si>
  <si>
    <t>Q2 2026</t>
  </si>
  <si>
    <t>H1 2025</t>
  </si>
  <si>
    <t>H1 2026</t>
  </si>
  <si>
    <t>FY2025</t>
  </si>
  <si>
    <t>Rasio Kunci (Diagnostik)</t>
  </si>
  <si>
    <t>BPP % Pendapatan</t>
  </si>
  <si>
    <t>Beban Usaha % Pendapatan</t>
  </si>
  <si>
    <t>Asumsi H2 2026 &amp; Beban Usaha</t>
  </si>
  <si>
    <t>Pertumbuhan Pendapatan H2 vs H1 2026</t>
  </si>
  <si>
    <t>BPP % Pendapatan (H2 2026 dst)</t>
  </si>
  <si>
    <t>Pertumbuhan Beban Usaha H2 vs H1 2026</t>
  </si>
  <si>
    <t>Penghasilan/Beban Lain-lain per Semester</t>
  </si>
  <si>
    <t>H1 2026 Aktual</t>
  </si>
  <si>
    <t>H2 2026 Proyeksi</t>
  </si>
  <si>
    <t>FY2026</t>
  </si>
  <si>
    <t>Cost of Equity (r)  \  g Terminal</t>
  </si>
  <si>
    <t>Kesimpulan undervalued</t>
  </si>
  <si>
    <t>PT Bank Mandiri (Persero) Tbk | Basis: Financial Model DDM (4) - dijangkarkan ke data aktual H1 2026 | Angka dalam Rupiah per saham kecuali dinyatakan lain</t>
  </si>
  <si>
    <t>Ambang: &gt;=+20% BUY | &gt;=+5% ACCUMULATE | &gt;=-5% HOLD | sisanya SELL</t>
  </si>
  <si>
    <t>Pertumbuhan Pendapatan 2026</t>
  </si>
  <si>
    <t>OUTPUT, bukan asumsi - dihitung dari build-up H1 2026 aktual. Mencerminkan dekonsolidasi BSI.</t>
  </si>
  <si>
    <t>Pertumbuhan Pendapatan 2027-2030</t>
  </si>
  <si>
    <t>Input. Di bawah PDB nominal Indonesia (~7-8%), konservatif.</t>
  </si>
  <si>
    <t>Tarif PPh Badan</t>
  </si>
  <si>
    <t>Tarif Tbk free float &gt;=40% (PP 30/2020, UU 7/2021). Realisasi 19,0-19,9%, bukan statutori 22%.</t>
  </si>
  <si>
    <t>Hak Minoritas (% Laba Bersih) 2026-2030</t>
  </si>
  <si>
    <t>Kebijakan 60-70%. Historis aktual: 60% / 78% / 79%.</t>
  </si>
  <si>
    <t>Proxy PDB nominal jangka panjang. Wajib di bawah SGR Terminal dan r - lihat bagian 5.</t>
  </si>
  <si>
    <t>DAPAT DIVERIFIKASI - berasal dari proyeksi laba rugi; 2026 dari data aktual</t>
  </si>
  <si>
    <t>TIDAK DAPAT DIVERIFIKASI - berasal dari asumsi g abadi</t>
  </si>
  <si>
    <t>Struktur alternatif; selisihnya = nilai pertumbuhan 2027-2030</t>
  </si>
  <si>
    <t>Memakai ekuitas akhir tahun, bukan rata-rata</t>
  </si>
  <si>
    <t>Pertumbuhan maksimum yang dapat didanai laba ditahan tanpa modal baru</t>
  </si>
  <si>
    <t>Cost of Equity (batas atas kedua)</t>
  </si>
  <si>
    <t>g wajib &lt; r, jika tidak rumus perpetuitas tidak sah</t>
  </si>
  <si>
    <t>Upside</t>
  </si>
  <si>
    <t>Sudut pesimis (r tertinggi + g terendah)</t>
  </si>
  <si>
    <t>Base case (model)</t>
  </si>
  <si>
    <t>Sudut optimis (r terendah + g tertinggi yang sah)</t>
  </si>
  <si>
    <t>Hanya kolom dengan g &lt; SGR Terminal yang dihitung</t>
  </si>
  <si>
    <t>Bagian nilai yang bergantung asumsi g abadi - gunakan rentang, bukan angka tunggal</t>
  </si>
  <si>
    <t>Nilai terendah dari 49 skenario</t>
  </si>
  <si>
    <t>Nilai tertinggi dari 49 skenario (kolom sah)</t>
  </si>
  <si>
    <t>Kesimpulan di semua 49 skenario</t>
  </si>
  <si>
    <t>Sel tengah tabel 7x7; harus sama dengan Nilai Intrinsik di bagian 1</t>
  </si>
  <si>
    <t>6.  RENTANG SENSITIVITAS (r vs g) - 7 nilai r x 7 nilai g = 49 skenario</t>
  </si>
  <si>
    <t>Sumber</t>
  </si>
  <si>
    <t>Jumlah Saham Beredar (miliar lembar)</t>
  </si>
  <si>
    <t>Laba yang Ditahan / Retention Ratio (1 - DPR)</t>
  </si>
  <si>
    <t>Bagian laba yang TIDAK dibagikan = 1 - DPR</t>
  </si>
  <si>
    <t>Batas Pertumbuhan yang Bisa Didanai Sendiri (SGR)</t>
  </si>
  <si>
    <t>SGR = ROE x (1-DPR). Pertumbuhan maksimum tanpa cari modal baru</t>
  </si>
  <si>
    <t>Laba yang Ditahan Terminal (2030)</t>
  </si>
  <si>
    <t>Bagian laba yang tidak dibagikan di 2030 = 1 - DPR (K46)</t>
  </si>
  <si>
    <t>Batas Pertumbuhan Terminal (SGR = ROE x Laba Ditahan)</t>
  </si>
  <si>
    <t>SGR terminal = ROE x (1-DPR) tahun 2030 (K47)</t>
  </si>
  <si>
    <t>Cek Konsistensi: g &lt; SGR Terminal DAN g &lt; r?</t>
  </si>
  <si>
    <t>DDM Dua Tahap</t>
  </si>
  <si>
    <t>Nilai Sekarang Dividen (PV)</t>
  </si>
  <si>
    <t>Nilai sekarang = Dividen x Faktor Diskonto</t>
  </si>
  <si>
    <t>Nilai Sekarang Dividen 2026-2030 (Tahap 1)</t>
  </si>
  <si>
    <t>Tahap 1 = jumlah nilai sekarang dividen 2026 s.d. 2030</t>
  </si>
  <si>
    <t>Dividen 2031 (= dividen 2030 x (1+g))</t>
  </si>
  <si>
    <t>Dividen tahun pertama setelah periode proyeksi</t>
  </si>
  <si>
    <t>Nilai Sekarang Terminal Value (Tahap 2)</t>
  </si>
  <si>
    <t>Tahap 2 = Terminal Value x Faktor Diskonto kolom 2030</t>
  </si>
  <si>
    <t>Nilai Wajar (DDM Dua Tahap)</t>
  </si>
  <si>
    <t>Nilai Wajar = Tahap 1 + Tahap 2</t>
  </si>
  <si>
    <t>Porsi Nilai yang Berasal dari Terminal Value</t>
  </si>
  <si>
    <t>Porsi = Tahap 2 / Nilai Wajar</t>
  </si>
  <si>
    <t>Valuasi Relatif (Pembanding Bank Lain)</t>
  </si>
  <si>
    <t>Rata-rata Bank Pembanding</t>
  </si>
  <si>
    <t>Nilai Buku per Saham (BVPS)</t>
  </si>
  <si>
    <t>Nilai Wajar BMRI</t>
  </si>
  <si>
    <t>Ringkasan (Nilai Wajar BMRI)</t>
  </si>
  <si>
    <t>Pendekatan Pendapatan - DDM Dua Tahap</t>
  </si>
  <si>
    <t>Pendekatan Pasar - P/BV Bank Pembanding</t>
  </si>
  <si>
    <t>Pendekatan Pasar - P/E Bank Pembanding</t>
  </si>
  <si>
    <t>Nilai Wajar BMRI (Gabungan 3 Metode)</t>
  </si>
  <si>
    <t>Harga Pasar Sekarang</t>
  </si>
  <si>
    <t>Potensi Kenaikan (Upside)</t>
  </si>
  <si>
    <t>Rasio Beban thd Laba Kotor (Cost-to-Income)</t>
  </si>
  <si>
    <t>Susunan FY2026 dari Data Aktual (bukan dari asumsi pendapatan)</t>
  </si>
  <si>
    <t>Tabel Sensitivitas: Nilai Wajar BMRI (Gabungan 3 Metode)</t>
  </si>
  <si>
    <t>Beta Tersirat</t>
  </si>
  <si>
    <t>Cek: Laba Bersih FY2026 harus sama dengan baris 31</t>
  </si>
  <si>
    <t>Data Aktual Kuartal</t>
  </si>
  <si>
    <t>r = Rf + b x ERP</t>
  </si>
  <si>
    <t>Pertumbuhan = Pendapatan_t / Pendapatan_t-1 - 1</t>
  </si>
  <si>
    <t>HPP% = BPP / Pendapatan</t>
  </si>
  <si>
    <t>Beban Usaha% = Beban Usaha / Pendapatan</t>
  </si>
  <si>
    <t>= Penghasilan/Beban Lain-lain (baris 28)</t>
  </si>
  <si>
    <t>Tarif Pajak = Beban Pajak / Laba Sebelum Pajak</t>
  </si>
  <si>
    <t>Hak Minoritas% = Hak Minoritas / Laba Bersih</t>
  </si>
  <si>
    <t>DPR = Dividen / Laba Atribusi</t>
  </si>
  <si>
    <t>Pakai 19% (tarif khusus perseroan terbuka, bukan 22%). Bukti: tarif efektif aktual 19,6% / 19,9% / 19,7% / 19,0% - lihat baris 102.</t>
  </si>
  <si>
    <t>2026 = build-up (baris 113); 2027-2030 = tahun lalu x (1+g)</t>
  </si>
  <si>
    <t>= HPP% (baris 13) x Pendapatan</t>
  </si>
  <si>
    <t>Laba Kotor = Pendapatan - BPP</t>
  </si>
  <si>
    <t>= Beban Usaha% (baris 14) x Pendapatan</t>
  </si>
  <si>
    <t>Laba Usaha = Laba Kotor - Beban Usaha</t>
  </si>
  <si>
    <t>Laba Sebelum Pajak = Laba Usaha + Lain-lain</t>
  </si>
  <si>
    <t>= -Tarif Pajak (D16) x Laba Sebelum Pajak</t>
  </si>
  <si>
    <t>Laba Bersih = Laba Sebelum Pajak - Pajak</t>
  </si>
  <si>
    <t>Laba Komprehensif = Laba Bersih + OCI</t>
  </si>
  <si>
    <t>= Hak Minoritas% x Laba Bersih</t>
  </si>
  <si>
    <t>Laba Atribusi = Laba Bersih - Hak Minoritas</t>
  </si>
  <si>
    <t>EPS = Laba Atribusi / Lembar Beredar</t>
  </si>
  <si>
    <t>DPS = DPR x EPS</t>
  </si>
  <si>
    <t>2026-2030 = asumsi DPR (D19)</t>
  </si>
  <si>
    <t>EPS jadi dasar hitungan dividen.</t>
  </si>
  <si>
    <t>2026 dibangun dari data aktual (baris 113-123). 2027-2030 tumbuh dari pendapatan dan mewarisi rasio 2026.</t>
  </si>
  <si>
    <t>2026 = hasil hitungan, bukan input. H12 satu-satunya input pertumbuhan; 2028-2030 mengikutinya.</t>
  </si>
  <si>
    <t>2026 = hasil build-up. 2027-2030 mewarisi rasio 2026.</t>
  </si>
  <si>
    <t>2026 = hasil build-up (12,6%). 2027-2030 mewarisi rasio 2026.</t>
  </si>
  <si>
    <t>Penghitung tahun t=1..5 untuk faktor diskonto (baris 60).</t>
  </si>
  <si>
    <t>2027-2030 = rasio baris 14 x pendapatan.</t>
  </si>
  <si>
    <t>2026 = pajak H1 aktual + H2 pada tarif 19%. 2027-2030 tarif 19% penuh.</t>
  </si>
  <si>
    <t>H1 2026 aktual -3.655; 2027-2030 diasumsikan 0.</t>
  </si>
  <si>
    <t>Historis = baris 31 - baris 35 (selisih rekonsiliasi), bukan angka laporan.</t>
  </si>
  <si>
    <t>= EPS Stockbit x 93,33 miliar lembar. Baris Hak Minoritas &amp; Laba Atribusi di Stockbit kosong - jangan dipakai.</t>
  </si>
  <si>
    <t>2026-2030 = DPR x EPS. 2023-2025 sesuai DPS aktual.</t>
  </si>
  <si>
    <t>2023-2025 = DPR aktual. 2026-2030 mengikuti D19.</t>
  </si>
  <si>
    <t>Rata-rata = AVERAGE(BBCA, BBRI, BBNI)</t>
  </si>
  <si>
    <t>Nilai Wajar = Multiple rata-rata x BVPS (atau EPS)</t>
  </si>
  <si>
    <t>Gabungan = jumlah (nilai x bobot)</t>
  </si>
  <si>
    <t>Upside = Nilai Wajar / Harga Pasar - 1</t>
  </si>
  <si>
    <t>= BPP / Pendapatan</t>
  </si>
  <si>
    <t>= Beban Usaha / Pendapatan</t>
  </si>
  <si>
    <t>= Beban Usaha / Laba Kotor</t>
  </si>
  <si>
    <t>= Beban Pajak / Laba Sebelum Pajak</t>
  </si>
  <si>
    <t>FY2026 = H1 aktual + H2 proyeksi</t>
  </si>
  <si>
    <t>H2 = HPP% (D106) x Pendapatan H2</t>
  </si>
  <si>
    <t>H2 = Beban Usaha H1 x (1 + D107)</t>
  </si>
  <si>
    <t>H2 = -Tarif Pajak (D16) x Laba Sebelum Pajak</t>
  </si>
  <si>
    <t>Cek: baris 121 (FY2026) = baris 31 kolom 2026</t>
  </si>
  <si>
    <t>Input. 0% = H2 sama dengan H1.</t>
  </si>
  <si>
    <t>Input. 0% = beban usaha H2 sama dengan H1 aktual.</t>
  </si>
  <si>
    <t>Mengikuti realisasi H1 2026. Kecil dan volatil.</t>
  </si>
  <si>
    <t>Input. H1 2026 aktual -3.655 (MTM obligasi); H2 diasumsikan 0.</t>
  </si>
  <si>
    <t>Fungsi: ukur beban bunga/dana per rupiah pendapatan. HIDUP - jadi asumsi BPP H2 2026 (D106).</t>
  </si>
  <si>
    <t>Fungsi: ukur efisiensi beban operasional. Diagnostik. H1 2026 = 9.268 vs H1 2025 = 19.001 (-51,2%), sumber kenaikan laba meski pendapatan turun 10,1%.</t>
  </si>
  <si>
    <t>Fungsi: ukur porsi laba kotor yang habis untuk beban usaha; pembanding antarbank. Diagnostik.</t>
  </si>
  <si>
    <t>Fungsi: cek tarif pajak yang benar-benar dibayar. Diagnostik - jadi bukti D16 dipatok 19%, bukan 22%.</t>
  </si>
  <si>
    <t>Sumber: Laporan Keuangan Interim BMRI Q2 2026 (bankmandiri.co.id). Turun dari ~8,2% karena DEKONSOLIDASI BSI (efektif 1 Feb 2026, surat OJK No. CRL.CSC/CMA.290/2026 tgl 27 Jan 2026). BSI dimiliki 51,47% = penyumbang hak minoritas terbesar, kini keluar dari konsolidasi. Jadi penurunan ini STRUKTURAL, bukan anomali satu semester.</t>
  </si>
  <si>
    <t>Historis = hak minoritas / laba bersih. 2026 = 3,84% (lapkeu interim Q2 2026) setelah dekonsolidasi BSI; wajar dipatok datar 2027-2030 karena BSI permanen keluar konsolidasi.</t>
  </si>
  <si>
    <t>7.  DASAR PROYEKSI 2026 - DATA AKTUAL H1 2026</t>
  </si>
  <si>
    <t>Perubahan</t>
  </si>
  <si>
    <t>Keterangan</t>
  </si>
  <si>
    <t>Pendapatan (Rp miliar)</t>
  </si>
  <si>
    <t>Turun terutama karena dekonsolidasi BSI (efektif 1 Feb 2026)</t>
  </si>
  <si>
    <t>Beban Usaha (Rp miliar)</t>
  </si>
  <si>
    <t>Penghematan beban = sumber kenaikan laba meski pendapatan turun</t>
  </si>
  <si>
    <t>Laba Bersih (Rp miliar)</t>
  </si>
  <si>
    <t>Cost-to-Income (Beban Usaha / Laba Kotor)</t>
  </si>
  <si>
    <t>Perubahan dalam poin persentase</t>
  </si>
  <si>
    <t>Mendukung asumsi tarif 19% (bukan 22%)</t>
  </si>
  <si>
    <t>Laba Bersih FY2026 (H1 aktual + H2 proyeksi, Rp miliar)</t>
  </si>
  <si>
    <t>H2 = H1 x (1 + pertumbuhan H2), BPP &amp; beban usaha mengikuti H1 aktual</t>
  </si>
  <si>
    <t>EPS 2026 (Rp)</t>
  </si>
  <si>
    <t>Laba atribusi / 93,33 miliar lembar</t>
  </si>
  <si>
    <t>DPS 2026 (Rp) = D1 untuk DDM</t>
  </si>
  <si>
    <t>Cek build-up FY2026</t>
  </si>
  <si>
    <t>Laba bersih build-up harus sama dengan laporan laba rugi 2026</t>
  </si>
  <si>
    <t>Syarat: g &lt; SGR Terminal DAN g &lt; r</t>
  </si>
  <si>
    <t>Tabel lengkap 7 x 7 = 49 skenario ada di Financial Model DDM (4) baris 126-138, lengkap dengan kolom Implied 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</si>
</sst>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%"/>
    <numFmt numFmtId="165" formatCode="0.0"/>
    <numFmt numFmtId="166" formatCode="_(* #,##0_);_(* \(#,##0\);_(* &quot;-&quot;??_);_(@_)"/>
    <numFmt numFmtId="167" formatCode="0.00&quot;x&quot;"/>
    <numFmt numFmtId="168" formatCode="#,##0;\(#,##0\);\-"/>
    <numFmt numFmtId="169" formatCode="\+0.0%;\-0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11"/>
      <color rgb="FF0080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i/>
      <sz val="11"/>
      <color rgb="FF808080"/>
      <name val="Calibri"/>
      <family val="2"/>
      <scheme val="minor"/>
    </font>
    <font>
      <i/>
      <sz val="9"/>
      <color rgb="FF808080"/>
      <name val="Calibri"/>
      <family val="2"/>
      <scheme val="minor"/>
    </font>
    <font>
      <i/>
      <sz val="11"/>
      <color rgb="FF7030A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008000"/>
      <name val="Calibri"/>
      <family val="2"/>
      <scheme val="minor"/>
    </font>
    <font>
      <b/>
      <sz val="11"/>
      <color rgb="FF1F4E79"/>
      <name val="Calibri"/>
      <family val="2"/>
      <scheme val="minor"/>
    </font>
    <font>
      <i/>
      <sz val="9"/>
      <color rgb="FF808080"/>
      <name val="Calibri"/>
      <family val="2"/>
      <scheme val="minor"/>
    </font>
    <font>
      <b/>
      <i/>
      <sz val="9"/>
      <color rgb="FF808080"/>
      <name val="Calibri"/>
      <family val="2"/>
      <scheme val="minor"/>
    </font>
    <font>
      <b/>
      <i/>
      <sz val="9"/>
      <color rgb="FF1F4E79"/>
      <name val="Calibri"/>
      <family val="2"/>
      <scheme val="minor"/>
    </font>
    <font>
      <b/>
      <sz val="14"/>
      <color rgb="FF1F4E79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8000"/>
      <name val="Calibri"/>
      <family val="2"/>
      <scheme val="minor"/>
    </font>
    <font>
      <b/>
      <i/>
      <sz val="11"/>
      <color rgb="FF808080"/>
      <name val="Calibri"/>
      <family val="2"/>
      <scheme val="minor"/>
    </font>
    <font>
      <i/>
      <sz val="11"/>
      <color rgb="FF80808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rgb="FFEAF1F8"/>
        <bgColor indexed="64"/>
      </patternFill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2">
    <xf numFmtId="0" fontId="0" fillId="0" borderId="0" xfId="0"/>
    <xf numFmtId="0" fontId="2" fillId="0" borderId="0" xfId="0" applyFont="1"/>
    <xf numFmtId="43" fontId="0" fillId="0" borderId="0" xfId="0" applyNumberFormat="1"/>
    <xf numFmtId="43" fontId="2" fillId="0" borderId="0" xfId="0" applyNumberFormat="1" applyFont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0" fillId="2" borderId="0" xfId="0" applyFill="1"/>
    <xf numFmtId="0" fontId="0" fillId="3" borderId="0" xfId="0" applyFill="1"/>
    <xf numFmtId="10" fontId="6" fillId="0" borderId="0" xfId="0" applyNumberFormat="1" applyFont="1"/>
    <xf numFmtId="168" fontId="10" fillId="0" borderId="0" xfId="0" applyNumberFormat="1" applyFont="1"/>
    <xf numFmtId="168" fontId="2" fillId="0" borderId="0" xfId="0" applyNumberFormat="1" applyFont="1"/>
    <xf numFmtId="0" fontId="11" fillId="0" borderId="0" xfId="0" applyFont="1"/>
    <xf numFmtId="0" fontId="11" fillId="0" borderId="0" xfId="0" quotePrefix="1" applyFont="1"/>
    <xf numFmtId="4" fontId="3" fillId="0" borderId="0" xfId="1" applyNumberFormat="1" applyFont="1"/>
    <xf numFmtId="4" fontId="6" fillId="0" borderId="0" xfId="1" applyNumberFormat="1" applyFont="1"/>
    <xf numFmtId="0" fontId="12" fillId="0" borderId="0" xfId="0" applyFont="1"/>
    <xf numFmtId="0" fontId="0" fillId="0" borderId="0" xfId="0" applyAlignment="1">
      <alignment horizontal="right"/>
    </xf>
    <xf numFmtId="0" fontId="13" fillId="0" borderId="0" xfId="0" applyFont="1" applyAlignment="1">
      <alignment horizontal="right"/>
    </xf>
    <xf numFmtId="0" fontId="13" fillId="0" borderId="0" xfId="0" quotePrefix="1" applyFont="1" applyAlignment="1">
      <alignment horizontal="right"/>
    </xf>
    <xf numFmtId="0" fontId="14" fillId="6" borderId="0" xfId="0" applyFont="1" applyFill="1"/>
    <xf numFmtId="0" fontId="0" fillId="0" borderId="1" xfId="0" applyBorder="1"/>
    <xf numFmtId="0" fontId="2" fillId="0" borderId="2" xfId="0" applyFont="1" applyBorder="1"/>
    <xf numFmtId="0" fontId="0" fillId="0" borderId="2" xfId="0" applyBorder="1"/>
    <xf numFmtId="0" fontId="2" fillId="0" borderId="3" xfId="0" applyFont="1" applyBorder="1"/>
    <xf numFmtId="0" fontId="0" fillId="0" borderId="3" xfId="0" applyBorder="1"/>
    <xf numFmtId="0" fontId="2" fillId="0" borderId="1" xfId="0" applyFont="1" applyBorder="1"/>
    <xf numFmtId="3" fontId="0" fillId="0" borderId="2" xfId="0" applyNumberFormat="1" applyBorder="1"/>
    <xf numFmtId="3" fontId="2" fillId="0" borderId="2" xfId="0" applyNumberFormat="1" applyFont="1" applyBorder="1"/>
    <xf numFmtId="0" fontId="2" fillId="5" borderId="2" xfId="0" applyFont="1" applyFill="1" applyBorder="1"/>
    <xf numFmtId="3" fontId="2" fillId="5" borderId="2" xfId="0" applyNumberFormat="1" applyFont="1" applyFill="1" applyBorder="1"/>
    <xf numFmtId="0" fontId="2" fillId="5" borderId="3" xfId="0" applyFont="1" applyFill="1" applyBorder="1"/>
    <xf numFmtId="43" fontId="14" fillId="6" borderId="0" xfId="0" applyNumberFormat="1" applyFont="1" applyFill="1"/>
    <xf numFmtId="1" fontId="5" fillId="7" borderId="0" xfId="0" applyNumberFormat="1" applyFont="1" applyFill="1" applyAlignment="1">
      <alignment horizontal="center"/>
    </xf>
    <xf numFmtId="0" fontId="5" fillId="7" borderId="0" xfId="0" applyFont="1" applyFill="1" applyAlignment="1">
      <alignment horizontal="center"/>
    </xf>
    <xf numFmtId="10" fontId="3" fillId="0" borderId="1" xfId="2" applyNumberFormat="1" applyFont="1" applyBorder="1"/>
    <xf numFmtId="2" fontId="3" fillId="0" borderId="2" xfId="0" applyNumberFormat="1" applyFont="1" applyBorder="1"/>
    <xf numFmtId="10" fontId="3" fillId="0" borderId="2" xfId="2" applyNumberFormat="1" applyFont="1" applyBorder="1"/>
    <xf numFmtId="10" fontId="6" fillId="0" borderId="3" xfId="0" applyNumberFormat="1" applyFont="1" applyBorder="1"/>
    <xf numFmtId="164" fontId="0" fillId="0" borderId="1" xfId="0" applyNumberFormat="1" applyBorder="1"/>
    <xf numFmtId="164" fontId="6" fillId="0" borderId="1" xfId="2" applyNumberFormat="1" applyFont="1" applyBorder="1"/>
    <xf numFmtId="164" fontId="6" fillId="0" borderId="1" xfId="0" applyNumberFormat="1" applyFont="1" applyBorder="1"/>
    <xf numFmtId="164" fontId="6" fillId="0" borderId="2" xfId="2" applyNumberFormat="1" applyFont="1" applyBorder="1"/>
    <xf numFmtId="164" fontId="6" fillId="0" borderId="2" xfId="0" applyNumberFormat="1" applyFont="1" applyBorder="1"/>
    <xf numFmtId="168" fontId="6" fillId="0" borderId="2" xfId="0" applyNumberFormat="1" applyFont="1" applyBorder="1"/>
    <xf numFmtId="164" fontId="3" fillId="0" borderId="2" xfId="0" applyNumberFormat="1" applyFont="1" applyBorder="1"/>
    <xf numFmtId="0" fontId="4" fillId="0" borderId="2" xfId="0" applyFont="1" applyBorder="1"/>
    <xf numFmtId="0" fontId="0" fillId="3" borderId="2" xfId="0" applyFill="1" applyBorder="1"/>
    <xf numFmtId="0" fontId="0" fillId="3" borderId="3" xfId="0" applyFill="1" applyBorder="1"/>
    <xf numFmtId="0" fontId="12" fillId="0" borderId="3" xfId="0" applyFont="1" applyBorder="1"/>
    <xf numFmtId="168" fontId="3" fillId="0" borderId="1" xfId="1" applyNumberFormat="1" applyFont="1" applyBorder="1"/>
    <xf numFmtId="168" fontId="6" fillId="0" borderId="1" xfId="0" applyNumberFormat="1" applyFont="1" applyBorder="1"/>
    <xf numFmtId="168" fontId="3" fillId="0" borderId="2" xfId="1" applyNumberFormat="1" applyFont="1" applyBorder="1"/>
    <xf numFmtId="168" fontId="5" fillId="0" borderId="2" xfId="1" applyNumberFormat="1" applyFont="1" applyBorder="1"/>
    <xf numFmtId="168" fontId="5" fillId="0" borderId="2" xfId="0" applyNumberFormat="1" applyFont="1" applyBorder="1"/>
    <xf numFmtId="168" fontId="3" fillId="0" borderId="2" xfId="0" applyNumberFormat="1" applyFont="1" applyBorder="1"/>
    <xf numFmtId="168" fontId="6" fillId="0" borderId="2" xfId="1" applyNumberFormat="1" applyFont="1" applyBorder="1"/>
    <xf numFmtId="168" fontId="5" fillId="5" borderId="2" xfId="0" applyNumberFormat="1" applyFont="1" applyFill="1" applyBorder="1"/>
    <xf numFmtId="168" fontId="10" fillId="0" borderId="2" xfId="0" applyNumberFormat="1" applyFont="1" applyBorder="1"/>
    <xf numFmtId="168" fontId="10" fillId="5" borderId="3" xfId="0" applyNumberFormat="1" applyFont="1" applyFill="1" applyBorder="1"/>
    <xf numFmtId="168" fontId="2" fillId="5" borderId="3" xfId="0" applyNumberFormat="1" applyFont="1" applyFill="1" applyBorder="1"/>
    <xf numFmtId="4" fontId="6" fillId="0" borderId="1" xfId="0" applyNumberFormat="1" applyFont="1" applyBorder="1"/>
    <xf numFmtId="4" fontId="6" fillId="0" borderId="2" xfId="0" applyNumberFormat="1" applyFont="1" applyBorder="1"/>
    <xf numFmtId="4" fontId="6" fillId="4" borderId="2" xfId="0" applyNumberFormat="1" applyFont="1" applyFill="1" applyBorder="1"/>
    <xf numFmtId="164" fontId="5" fillId="5" borderId="2" xfId="0" applyNumberFormat="1" applyFont="1" applyFill="1" applyBorder="1"/>
    <xf numFmtId="10" fontId="5" fillId="5" borderId="3" xfId="0" applyNumberFormat="1" applyFont="1" applyFill="1" applyBorder="1"/>
    <xf numFmtId="10" fontId="5" fillId="0" borderId="2" xfId="0" applyNumberFormat="1" applyFont="1" applyBorder="1"/>
    <xf numFmtId="10" fontId="3" fillId="2" borderId="2" xfId="0" applyNumberFormat="1" applyFont="1" applyFill="1" applyBorder="1"/>
    <xf numFmtId="4" fontId="5" fillId="0" borderId="2" xfId="0" applyNumberFormat="1" applyFont="1" applyBorder="1"/>
    <xf numFmtId="3" fontId="5" fillId="5" borderId="3" xfId="0" applyNumberFormat="1" applyFont="1" applyFill="1" applyBorder="1"/>
    <xf numFmtId="4" fontId="0" fillId="0" borderId="1" xfId="0" applyNumberFormat="1" applyBorder="1"/>
    <xf numFmtId="4" fontId="0" fillId="0" borderId="2" xfId="0" applyNumberFormat="1" applyBorder="1"/>
    <xf numFmtId="164" fontId="0" fillId="0" borderId="3" xfId="0" applyNumberFormat="1" applyBorder="1"/>
    <xf numFmtId="167" fontId="3" fillId="0" borderId="1" xfId="0" applyNumberFormat="1" applyFont="1" applyBorder="1"/>
    <xf numFmtId="167" fontId="3" fillId="0" borderId="2" xfId="0" applyNumberFormat="1" applyFont="1" applyBorder="1"/>
    <xf numFmtId="167" fontId="6" fillId="2" borderId="2" xfId="0" applyNumberFormat="1" applyFont="1" applyFill="1" applyBorder="1"/>
    <xf numFmtId="165" fontId="0" fillId="2" borderId="2" xfId="0" applyNumberFormat="1" applyFill="1" applyBorder="1"/>
    <xf numFmtId="4" fontId="3" fillId="0" borderId="2" xfId="0" applyNumberFormat="1" applyFont="1" applyBorder="1"/>
    <xf numFmtId="3" fontId="5" fillId="0" borderId="3" xfId="0" applyNumberFormat="1" applyFont="1" applyBorder="1"/>
    <xf numFmtId="166" fontId="2" fillId="0" borderId="3" xfId="1" applyNumberFormat="1" applyFont="1" applyBorder="1"/>
    <xf numFmtId="3" fontId="6" fillId="0" borderId="1" xfId="0" applyNumberFormat="1" applyFont="1" applyBorder="1"/>
    <xf numFmtId="9" fontId="3" fillId="0" borderId="1" xfId="0" applyNumberFormat="1" applyFont="1" applyBorder="1"/>
    <xf numFmtId="3" fontId="6" fillId="0" borderId="2" xfId="0" applyNumberFormat="1" applyFont="1" applyBorder="1"/>
    <xf numFmtId="9" fontId="3" fillId="0" borderId="2" xfId="0" applyNumberFormat="1" applyFont="1" applyBorder="1"/>
    <xf numFmtId="3" fontId="5" fillId="0" borderId="2" xfId="1" applyNumberFormat="1" applyFont="1" applyFill="1" applyBorder="1"/>
    <xf numFmtId="3" fontId="5" fillId="5" borderId="2" xfId="0" applyNumberFormat="1" applyFont="1" applyFill="1" applyBorder="1"/>
    <xf numFmtId="9" fontId="2" fillId="5" borderId="2" xfId="0" applyNumberFormat="1" applyFont="1" applyFill="1" applyBorder="1"/>
    <xf numFmtId="3" fontId="3" fillId="0" borderId="2" xfId="2" applyNumberFormat="1" applyFont="1" applyBorder="1"/>
    <xf numFmtId="164" fontId="5" fillId="5" borderId="3" xfId="0" applyNumberFormat="1" applyFont="1" applyFill="1" applyBorder="1"/>
    <xf numFmtId="0" fontId="16" fillId="0" borderId="0" xfId="0" applyFont="1"/>
    <xf numFmtId="0" fontId="16" fillId="2" borderId="0" xfId="0" applyFont="1" applyFill="1"/>
    <xf numFmtId="10" fontId="0" fillId="0" borderId="2" xfId="0" applyNumberFormat="1" applyBorder="1"/>
    <xf numFmtId="9" fontId="3" fillId="2" borderId="3" xfId="0" applyNumberFormat="1" applyFont="1" applyFill="1" applyBorder="1"/>
    <xf numFmtId="0" fontId="7" fillId="0" borderId="0" xfId="0" applyFont="1"/>
    <xf numFmtId="0" fontId="5" fillId="0" borderId="0" xfId="0" applyFont="1" applyAlignment="1">
      <alignment horizontal="center"/>
    </xf>
    <xf numFmtId="0" fontId="17" fillId="0" borderId="0" xfId="0" applyFont="1"/>
    <xf numFmtId="0" fontId="17" fillId="0" borderId="0" xfId="0" quotePrefix="1" applyFont="1"/>
    <xf numFmtId="43" fontId="18" fillId="0" borderId="0" xfId="0" applyNumberFormat="1" applyFont="1"/>
    <xf numFmtId="0" fontId="18" fillId="6" borderId="0" xfId="0" applyFont="1" applyFill="1"/>
    <xf numFmtId="0" fontId="17" fillId="0" borderId="2" xfId="0" applyFont="1" applyBorder="1"/>
    <xf numFmtId="0" fontId="17" fillId="0" borderId="3" xfId="0" applyFont="1" applyBorder="1"/>
    <xf numFmtId="164" fontId="6" fillId="3" borderId="2" xfId="0" applyNumberFormat="1" applyFont="1" applyFill="1" applyBorder="1"/>
    <xf numFmtId="164" fontId="12" fillId="0" borderId="0" xfId="0" applyNumberFormat="1" applyFont="1"/>
    <xf numFmtId="0" fontId="2" fillId="7" borderId="0" xfId="0" applyFont="1" applyFill="1" applyAlignment="1">
      <alignment horizontal="center"/>
    </xf>
    <xf numFmtId="164" fontId="3" fillId="2" borderId="0" xfId="0" applyNumberFormat="1" applyFont="1" applyFill="1"/>
    <xf numFmtId="168" fontId="0" fillId="0" borderId="0" xfId="0" applyNumberFormat="1"/>
    <xf numFmtId="0" fontId="15" fillId="0" borderId="0" xfId="0" applyFont="1"/>
    <xf numFmtId="168" fontId="8" fillId="0" borderId="1" xfId="0" applyNumberFormat="1" applyFont="1" applyBorder="1"/>
    <xf numFmtId="168" fontId="8" fillId="0" borderId="2" xfId="0" applyNumberFormat="1" applyFont="1" applyBorder="1"/>
    <xf numFmtId="168" fontId="9" fillId="0" borderId="2" xfId="0" applyNumberFormat="1" applyFont="1" applyBorder="1"/>
    <xf numFmtId="168" fontId="10" fillId="2" borderId="2" xfId="0" applyNumberFormat="1" applyFont="1" applyFill="1" applyBorder="1"/>
    <xf numFmtId="168" fontId="3" fillId="2" borderId="0" xfId="0" applyNumberFormat="1" applyFont="1" applyFill="1"/>
    <xf numFmtId="0" fontId="2" fillId="8" borderId="0" xfId="0" applyFont="1" applyFill="1" applyAlignment="1">
      <alignment horizontal="center"/>
    </xf>
    <xf numFmtId="168" fontId="0" fillId="8" borderId="0" xfId="0" applyNumberFormat="1" applyFill="1"/>
    <xf numFmtId="168" fontId="2" fillId="8" borderId="0" xfId="0" applyNumberFormat="1" applyFont="1" applyFill="1"/>
    <xf numFmtId="164" fontId="3" fillId="2" borderId="1" xfId="0" applyNumberFormat="1" applyFont="1" applyFill="1" applyBorder="1"/>
    <xf numFmtId="168" fontId="8" fillId="0" borderId="2" xfId="1" applyNumberFormat="1" applyFont="1" applyBorder="1"/>
    <xf numFmtId="0" fontId="0" fillId="0" borderId="2" xfId="0" applyBorder="1" applyAlignment="1">
      <alignment vertical="top"/>
    </xf>
    <xf numFmtId="164" fontId="3" fillId="4" borderId="2" xfId="0" applyNumberFormat="1" applyFont="1" applyFill="1" applyBorder="1" applyAlignment="1">
      <alignment vertical="top"/>
    </xf>
    <xf numFmtId="0" fontId="12" fillId="0" borderId="2" xfId="0" applyFont="1" applyBorder="1" applyAlignment="1">
      <alignment vertical="top"/>
    </xf>
    <xf numFmtId="3" fontId="2" fillId="0" borderId="0" xfId="0" applyNumberFormat="1" applyFont="1"/>
    <xf numFmtId="169" fontId="2" fillId="0" borderId="0" xfId="0" applyNumberFormat="1" applyFont="1"/>
    <xf numFmtId="0" fontId="9" fillId="0" borderId="0" xfId="0" applyFont="1"/>
    <xf numFmtId="0" fontId="2" fillId="7" borderId="5" xfId="0" applyFont="1" applyFill="1" applyBorder="1" applyAlignment="1">
      <alignment horizontal="center"/>
    </xf>
    <xf numFmtId="164" fontId="2" fillId="7" borderId="5" xfId="0" applyNumberFormat="1" applyFont="1" applyFill="1" applyBorder="1" applyAlignment="1">
      <alignment horizontal="center"/>
    </xf>
    <xf numFmtId="164" fontId="2" fillId="2" borderId="5" xfId="0" applyNumberFormat="1" applyFont="1" applyFill="1" applyBorder="1" applyAlignment="1">
      <alignment horizontal="center"/>
    </xf>
    <xf numFmtId="10" fontId="2" fillId="7" borderId="5" xfId="0" applyNumberFormat="1" applyFont="1" applyFill="1" applyBorder="1"/>
    <xf numFmtId="3" fontId="0" fillId="0" borderId="5" xfId="0" applyNumberFormat="1" applyBorder="1"/>
    <xf numFmtId="10" fontId="2" fillId="2" borderId="5" xfId="0" applyNumberFormat="1" applyFont="1" applyFill="1" applyBorder="1"/>
    <xf numFmtId="3" fontId="2" fillId="2" borderId="5" xfId="0" applyNumberFormat="1" applyFont="1" applyFill="1" applyBorder="1"/>
    <xf numFmtId="164" fontId="3" fillId="4" borderId="0" xfId="0" applyNumberFormat="1" applyFont="1" applyFill="1"/>
    <xf numFmtId="0" fontId="3" fillId="4" borderId="2" xfId="0" applyFont="1" applyFill="1" applyBorder="1"/>
    <xf numFmtId="0" fontId="19" fillId="0" borderId="0" xfId="0" applyFont="1"/>
    <xf numFmtId="2" fontId="0" fillId="0" borderId="0" xfId="0" applyNumberFormat="1" applyAlignment="1">
      <alignment horizontal="center"/>
    </xf>
    <xf numFmtId="0" fontId="20" fillId="0" borderId="0" xfId="0" applyFont="1"/>
    <xf numFmtId="0" fontId="21" fillId="0" borderId="0" xfId="0" applyFont="1"/>
    <xf numFmtId="0" fontId="22" fillId="6" borderId="0" xfId="0" applyFont="1" applyFill="1"/>
    <xf numFmtId="0" fontId="21" fillId="6" borderId="0" xfId="0" applyFont="1" applyFill="1"/>
    <xf numFmtId="3" fontId="21" fillId="0" borderId="0" xfId="0" applyNumberFormat="1" applyFont="1"/>
    <xf numFmtId="0" fontId="23" fillId="0" borderId="0" xfId="0" applyFont="1"/>
    <xf numFmtId="0" fontId="24" fillId="0" borderId="0" xfId="0" applyFont="1" applyAlignment="1">
      <alignment horizontal="center"/>
    </xf>
    <xf numFmtId="0" fontId="22" fillId="6" borderId="0" xfId="0" applyFont="1" applyFill="1" applyAlignment="1">
      <alignment horizontal="center"/>
    </xf>
    <xf numFmtId="10" fontId="21" fillId="0" borderId="0" xfId="0" applyNumberFormat="1" applyFont="1" applyAlignment="1">
      <alignment horizontal="center"/>
    </xf>
    <xf numFmtId="2" fontId="21" fillId="0" borderId="0" xfId="0" applyNumberFormat="1" applyFont="1" applyAlignment="1">
      <alignment horizontal="center"/>
    </xf>
    <xf numFmtId="10" fontId="23" fillId="0" borderId="0" xfId="0" applyNumberFormat="1" applyFont="1" applyAlignment="1">
      <alignment horizontal="center"/>
    </xf>
    <xf numFmtId="169" fontId="21" fillId="0" borderId="0" xfId="0" applyNumberFormat="1" applyFont="1" applyAlignment="1">
      <alignment horizontal="center"/>
    </xf>
    <xf numFmtId="164" fontId="21" fillId="0" borderId="0" xfId="0" applyNumberFormat="1" applyFont="1" applyAlignment="1">
      <alignment horizontal="center"/>
    </xf>
    <xf numFmtId="9" fontId="21" fillId="0" borderId="0" xfId="0" applyNumberFormat="1" applyFont="1" applyAlignment="1">
      <alignment horizontal="center"/>
    </xf>
    <xf numFmtId="0" fontId="25" fillId="0" borderId="0" xfId="0" applyFont="1"/>
    <xf numFmtId="3" fontId="26" fillId="0" borderId="0" xfId="0" applyNumberFormat="1" applyFont="1"/>
    <xf numFmtId="0" fontId="26" fillId="0" borderId="0" xfId="0" applyFont="1"/>
    <xf numFmtId="3" fontId="23" fillId="2" borderId="0" xfId="0" applyNumberFormat="1" applyFont="1" applyFill="1"/>
    <xf numFmtId="169" fontId="23" fillId="2" borderId="0" xfId="0" applyNumberFormat="1" applyFont="1" applyFill="1" applyAlignment="1">
      <alignment horizontal="center"/>
    </xf>
    <xf numFmtId="0" fontId="24" fillId="0" borderId="0" xfId="0" applyFont="1"/>
    <xf numFmtId="0" fontId="23" fillId="9" borderId="0" xfId="0" applyFont="1" applyFill="1"/>
    <xf numFmtId="3" fontId="23" fillId="9" borderId="0" xfId="0" applyNumberFormat="1" applyFont="1" applyFill="1"/>
    <xf numFmtId="169" fontId="23" fillId="9" borderId="0" xfId="0" applyNumberFormat="1" applyFont="1" applyFill="1"/>
    <xf numFmtId="164" fontId="23" fillId="9" borderId="0" xfId="0" applyNumberFormat="1" applyFont="1" applyFill="1" applyAlignment="1">
      <alignment horizontal="center"/>
    </xf>
    <xf numFmtId="0" fontId="23" fillId="9" borderId="4" xfId="0" applyFont="1" applyFill="1" applyBorder="1"/>
    <xf numFmtId="0" fontId="21" fillId="9" borderId="4" xfId="0" applyFont="1" applyFill="1" applyBorder="1"/>
    <xf numFmtId="9" fontId="23" fillId="9" borderId="4" xfId="0" applyNumberFormat="1" applyFont="1" applyFill="1" applyBorder="1" applyAlignment="1">
      <alignment horizontal="center"/>
    </xf>
    <xf numFmtId="3" fontId="23" fillId="9" borderId="4" xfId="0" applyNumberFormat="1" applyFont="1" applyFill="1" applyBorder="1"/>
    <xf numFmtId="169" fontId="23" fillId="9" borderId="4" xfId="0" applyNumberFormat="1" applyFont="1" applyFill="1" applyBorder="1"/>
    <xf numFmtId="10" fontId="6" fillId="4" borderId="2" xfId="0" applyNumberFormat="1" applyFont="1" applyFill="1" applyBorder="1"/>
    <xf numFmtId="10" fontId="6" fillId="3" borderId="2" xfId="0" applyNumberFormat="1" applyFont="1" applyFill="1" applyBorder="1"/>
    <xf numFmtId="0" fontId="13" fillId="0" borderId="0" xfId="0" applyFont="1" applyAlignment="1">
      <alignment horizontal="right" vertical="top" wrapText="1"/>
    </xf>
    <xf numFmtId="0" fontId="13" fillId="3" borderId="0" xfId="0" applyFont="1" applyFill="1" applyAlignment="1">
      <alignment horizontal="right"/>
    </xf>
    <xf numFmtId="0" fontId="19" fillId="0" borderId="0" xfId="0" applyFont="1" applyAlignment="1">
      <alignment vertical="top"/>
    </xf>
    <xf numFmtId="0" fontId="19" fillId="3" borderId="0" xfId="0" applyFont="1" applyFill="1"/>
    <xf numFmtId="0" fontId="12" fillId="3" borderId="0" xfId="0" applyFont="1" applyFill="1"/>
    <xf numFmtId="9" fontId="3" fillId="2" borderId="0" xfId="2" applyFont="1" applyFill="1"/>
    <xf numFmtId="0" fontId="17" fillId="0" borderId="0" xfId="0" applyFont="1" applyAlignment="1">
      <alignment horizontal="left"/>
    </xf>
    <xf numFmtId="0" fontId="27" fillId="4" borderId="0" xfId="0" applyFont="1" applyFill="1"/>
    <xf numFmtId="3" fontId="27" fillId="4" borderId="0" xfId="0" applyNumberFormat="1" applyFont="1" applyFill="1" applyAlignment="1">
      <alignment horizontal="right"/>
    </xf>
    <xf numFmtId="169" fontId="27" fillId="4" borderId="0" xfId="0" applyNumberFormat="1" applyFont="1" applyFill="1" applyAlignment="1">
      <alignment horizontal="right"/>
    </xf>
    <xf numFmtId="164" fontId="27" fillId="4" borderId="0" xfId="0" applyNumberFormat="1" applyFont="1" applyFill="1" applyAlignment="1">
      <alignment horizontal="right"/>
    </xf>
    <xf numFmtId="0" fontId="27" fillId="4" borderId="0" xfId="0" applyFont="1" applyFill="1" applyAlignment="1">
      <alignment horizontal="right"/>
    </xf>
    <xf numFmtId="0" fontId="28" fillId="4" borderId="0" xfId="0" applyFont="1" applyFill="1"/>
    <xf numFmtId="3" fontId="28" fillId="4" borderId="0" xfId="0" applyNumberFormat="1" applyFont="1" applyFill="1" applyAlignment="1">
      <alignment horizontal="right"/>
    </xf>
    <xf numFmtId="0" fontId="24" fillId="4" borderId="0" xfId="0" applyFont="1" applyFill="1" applyAlignment="1">
      <alignment horizontal="left"/>
    </xf>
    <xf numFmtId="0" fontId="17" fillId="4" borderId="0" xfId="0" applyFont="1" applyFill="1"/>
    <xf numFmtId="164" fontId="6" fillId="10" borderId="1" xfId="0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3">
    <dxf>
      <font>
        <b val="0"/>
        <i/>
      </font>
      <fill>
        <patternFill patternType="solid">
          <fgColor indexed="64"/>
          <bgColor rgb="FFFCE4D6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colors>
    <mruColors>
      <color rgb="FF4B77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  <wetp:taskpane dockstate="right" visibility="0" width="438" row="4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DE1C549-28F5-4C05-A4F5-A5E8575BE530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8d17ca3b-51e6-4339-a360-2aed54b9b495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3521A460-1E61-469E-8D25-8773F445CC2A}">
  <we:reference id="wa200010215" version="2.0.0.0" store="en-US" storeType="OMEX"/>
  <we:alternateReferences>
    <we:reference id="WA200010215" version="2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099E8-2297-446E-B3B9-E33458BBD114}">
  <dimension ref="B3:M154"/>
  <sheetViews>
    <sheetView tabSelected="1" topLeftCell="A30" zoomScale="82" zoomScaleNormal="100" workbookViewId="0">
      <pane xSplit="3" topLeftCell="D1" activePane="topRight" state="frozen"/>
      <selection activeCell="A26" sqref="A26"/>
      <selection pane="topRight" activeCell="L50" sqref="L50"/>
    </sheetView>
  </sheetViews>
  <sheetFormatPr defaultRowHeight="14.4" x14ac:dyDescent="0.3"/>
  <cols>
    <col min="2" max="2" width="39.21875" bestFit="1" customWidth="1"/>
    <col min="3" max="3" width="35.6640625" customWidth="1"/>
    <col min="4" max="11" width="14.44140625" customWidth="1"/>
  </cols>
  <sheetData>
    <row r="3" spans="2:12" x14ac:dyDescent="0.3">
      <c r="C3" s="89" t="s">
        <v>30</v>
      </c>
    </row>
    <row r="4" spans="2:12" x14ac:dyDescent="0.3">
      <c r="C4" s="90" t="s">
        <v>19</v>
      </c>
      <c r="D4" s="7"/>
      <c r="E4" s="7"/>
    </row>
    <row r="5" spans="2:12" x14ac:dyDescent="0.3">
      <c r="C5" s="20" t="s">
        <v>29</v>
      </c>
      <c r="D5" s="20"/>
      <c r="E5" s="20" t="s">
        <v>162</v>
      </c>
      <c r="F5" s="20"/>
      <c r="G5" s="20"/>
      <c r="H5" s="20"/>
      <c r="I5" s="20"/>
      <c r="J5" s="20"/>
      <c r="K5" s="20"/>
    </row>
    <row r="6" spans="2:12" x14ac:dyDescent="0.3">
      <c r="C6" s="21" t="s">
        <v>20</v>
      </c>
      <c r="D6" s="35">
        <v>7.0000000000000007E-2</v>
      </c>
      <c r="E6" s="21" t="s">
        <v>33</v>
      </c>
      <c r="F6" s="21"/>
      <c r="G6" s="21"/>
      <c r="H6" s="21"/>
      <c r="I6" s="21"/>
      <c r="J6" s="21"/>
      <c r="K6" s="21"/>
    </row>
    <row r="7" spans="2:12" x14ac:dyDescent="0.3">
      <c r="C7" s="23" t="s">
        <v>17</v>
      </c>
      <c r="D7" s="36">
        <v>0.76</v>
      </c>
      <c r="E7" s="23" t="s">
        <v>21</v>
      </c>
      <c r="G7" s="23"/>
      <c r="H7" s="23"/>
      <c r="I7" s="23"/>
      <c r="J7" s="23"/>
      <c r="K7" s="23"/>
    </row>
    <row r="8" spans="2:12" x14ac:dyDescent="0.3">
      <c r="C8" s="23" t="s">
        <v>28</v>
      </c>
      <c r="D8" s="37">
        <v>6.6900000000000001E-2</v>
      </c>
      <c r="E8" s="23" t="s">
        <v>21</v>
      </c>
      <c r="F8" s="23"/>
      <c r="G8" s="23"/>
      <c r="H8" s="23"/>
      <c r="I8" s="23"/>
      <c r="J8" s="23"/>
      <c r="K8" s="23"/>
    </row>
    <row r="9" spans="2:12" x14ac:dyDescent="0.3">
      <c r="B9" s="18" t="s">
        <v>203</v>
      </c>
      <c r="C9" s="25" t="s">
        <v>18</v>
      </c>
      <c r="D9" s="38">
        <f>D6+D7*D8</f>
        <v>0.12084400000000001</v>
      </c>
      <c r="E9" s="25"/>
      <c r="F9" s="25"/>
      <c r="G9" s="25"/>
      <c r="H9" s="25"/>
      <c r="I9" s="25"/>
      <c r="J9" s="25"/>
      <c r="K9" s="25"/>
    </row>
    <row r="11" spans="2:12" x14ac:dyDescent="0.3">
      <c r="C11" s="20" t="s">
        <v>12</v>
      </c>
      <c r="D11" s="33">
        <v>2023</v>
      </c>
      <c r="E11" s="33">
        <v>2024</v>
      </c>
      <c r="F11" s="33">
        <v>2025</v>
      </c>
      <c r="G11" s="33">
        <v>2026</v>
      </c>
      <c r="H11" s="33">
        <v>2027</v>
      </c>
      <c r="I11" s="33">
        <v>2028</v>
      </c>
      <c r="J11" s="33">
        <v>2029</v>
      </c>
      <c r="K11" s="33">
        <v>2030</v>
      </c>
      <c r="L11" s="132" t="s">
        <v>227</v>
      </c>
    </row>
    <row r="12" spans="2:12" x14ac:dyDescent="0.3">
      <c r="B12" s="18" t="s">
        <v>204</v>
      </c>
      <c r="C12" s="21" t="s">
        <v>13</v>
      </c>
      <c r="D12" s="39"/>
      <c r="E12" s="40">
        <f>E23/D23-1</f>
        <v>5.1214909821831522E-2</v>
      </c>
      <c r="F12" s="40">
        <f>F23/E23-1</f>
        <v>7.2881234675494344E-2</v>
      </c>
      <c r="G12" s="181">
        <f>G23/F23-1</f>
        <v>-0.11026108885022701</v>
      </c>
      <c r="H12" s="115">
        <v>0.06</v>
      </c>
      <c r="I12" s="41">
        <f>H12</f>
        <v>0.06</v>
      </c>
      <c r="J12" s="41">
        <f>I12</f>
        <v>0.06</v>
      </c>
      <c r="K12" s="41">
        <f>J12</f>
        <v>0.06</v>
      </c>
      <c r="L12" s="95" t="s">
        <v>228</v>
      </c>
    </row>
    <row r="13" spans="2:12" x14ac:dyDescent="0.3">
      <c r="B13" s="18" t="s">
        <v>205</v>
      </c>
      <c r="C13" s="23" t="s">
        <v>14</v>
      </c>
      <c r="D13" s="42">
        <f>D24/D23</f>
        <v>-0.32992629866134304</v>
      </c>
      <c r="E13" s="42">
        <f t="shared" ref="E13:F13" si="0">E24/E23</f>
        <v>-0.32179998309020075</v>
      </c>
      <c r="F13" s="42">
        <f t="shared" si="0"/>
        <v>-0.35281851081757726</v>
      </c>
      <c r="G13" s="43">
        <f>G24/G23</f>
        <v>-0.34142286781037512</v>
      </c>
      <c r="H13" s="43">
        <f>G13</f>
        <v>-0.34142286781037512</v>
      </c>
      <c r="I13" s="43">
        <f t="shared" ref="I13:K14" si="1">H13</f>
        <v>-0.34142286781037512</v>
      </c>
      <c r="J13" s="43">
        <f t="shared" si="1"/>
        <v>-0.34142286781037512</v>
      </c>
      <c r="K13" s="43">
        <f t="shared" si="1"/>
        <v>-0.34142286781037512</v>
      </c>
      <c r="L13" t="s">
        <v>229</v>
      </c>
    </row>
    <row r="14" spans="2:12" x14ac:dyDescent="0.3">
      <c r="B14" s="18" t="s">
        <v>206</v>
      </c>
      <c r="C14" s="23" t="s">
        <v>15</v>
      </c>
      <c r="D14" s="42">
        <f>D26/D23</f>
        <v>-0.15976371815732979</v>
      </c>
      <c r="E14" s="42">
        <f t="shared" ref="E14:F14" si="2">E26/E23</f>
        <v>-0.18352335178235787</v>
      </c>
      <c r="F14" s="42">
        <f t="shared" si="2"/>
        <v>-0.18458684674745246</v>
      </c>
      <c r="G14" s="43">
        <f>G26/G23</f>
        <v>-0.12628939730469974</v>
      </c>
      <c r="H14" s="43">
        <f>G14</f>
        <v>-0.12628939730469974</v>
      </c>
      <c r="I14" s="43">
        <f t="shared" si="1"/>
        <v>-0.12628939730469974</v>
      </c>
      <c r="J14" s="43">
        <f t="shared" si="1"/>
        <v>-0.12628939730469974</v>
      </c>
      <c r="K14" s="43">
        <f t="shared" si="1"/>
        <v>-0.12628939730469974</v>
      </c>
      <c r="L14" s="16" t="s">
        <v>230</v>
      </c>
    </row>
    <row r="15" spans="2:12" x14ac:dyDescent="0.3">
      <c r="B15" s="19" t="s">
        <v>207</v>
      </c>
      <c r="C15" s="23" t="s">
        <v>34</v>
      </c>
      <c r="D15" s="44">
        <f>D28</f>
        <v>43</v>
      </c>
      <c r="E15" s="44">
        <f t="shared" ref="E15:F15" si="3">E28</f>
        <v>344</v>
      </c>
      <c r="F15" s="44">
        <f t="shared" si="3"/>
        <v>107</v>
      </c>
      <c r="G15" s="44">
        <f>G28</f>
        <v>-44</v>
      </c>
      <c r="H15" s="44">
        <f>G15</f>
        <v>-44</v>
      </c>
      <c r="I15" s="44">
        <f t="shared" ref="I15:K15" si="4">H15</f>
        <v>-44</v>
      </c>
      <c r="J15" s="44">
        <f t="shared" si="4"/>
        <v>-44</v>
      </c>
      <c r="K15" s="44">
        <f t="shared" si="4"/>
        <v>-44</v>
      </c>
    </row>
    <row r="16" spans="2:12" ht="28.8" x14ac:dyDescent="0.3">
      <c r="B16" s="165" t="s">
        <v>208</v>
      </c>
      <c r="C16" s="117" t="s">
        <v>16</v>
      </c>
      <c r="D16" s="118">
        <v>0.19</v>
      </c>
      <c r="E16" s="119"/>
      <c r="F16" s="117"/>
      <c r="G16" s="44"/>
      <c r="H16" s="117"/>
      <c r="I16" s="117"/>
      <c r="J16" s="117"/>
      <c r="K16" s="117"/>
      <c r="L16" s="167" t="s">
        <v>211</v>
      </c>
    </row>
    <row r="17" spans="2:13" x14ac:dyDescent="0.3">
      <c r="C17" s="23"/>
      <c r="D17" s="131"/>
      <c r="E17" s="46"/>
      <c r="F17" s="23"/>
      <c r="G17" s="23"/>
      <c r="H17" s="23"/>
      <c r="I17" s="23"/>
      <c r="J17" s="23"/>
      <c r="K17" s="23"/>
    </row>
    <row r="18" spans="2:13" s="8" customFormat="1" x14ac:dyDescent="0.3">
      <c r="B18" s="166" t="s">
        <v>209</v>
      </c>
      <c r="C18" s="47" t="s">
        <v>53</v>
      </c>
      <c r="D18" s="163">
        <f>D34/D31</f>
        <v>8.311268754891675E-2</v>
      </c>
      <c r="E18" s="164">
        <f>E34/E31</f>
        <v>8.8006408789196619E-2</v>
      </c>
      <c r="F18" s="164">
        <f>F34/F31</f>
        <v>8.2367515933949503E-2</v>
      </c>
      <c r="G18" s="67">
        <v>3.8406999999999997E-2</v>
      </c>
      <c r="H18" s="101">
        <f>G18</f>
        <v>3.8406999999999997E-2</v>
      </c>
      <c r="I18" s="101">
        <f>H18</f>
        <v>3.8406999999999997E-2</v>
      </c>
      <c r="J18" s="101">
        <f>I18</f>
        <v>3.8406999999999997E-2</v>
      </c>
      <c r="K18" s="101">
        <f>J18</f>
        <v>3.8406999999999997E-2</v>
      </c>
      <c r="L18" s="168" t="s">
        <v>261</v>
      </c>
      <c r="M18" s="169" t="s">
        <v>260</v>
      </c>
    </row>
    <row r="19" spans="2:13" s="8" customFormat="1" x14ac:dyDescent="0.3">
      <c r="B19" s="166" t="s">
        <v>210</v>
      </c>
      <c r="C19" s="48" t="s">
        <v>54</v>
      </c>
      <c r="D19" s="92">
        <v>0.7</v>
      </c>
      <c r="E19" s="49"/>
      <c r="F19" s="48"/>
      <c r="G19" s="48"/>
      <c r="H19" s="48"/>
      <c r="I19" s="48"/>
      <c r="J19" s="48"/>
      <c r="K19" s="48"/>
    </row>
    <row r="20" spans="2:13" x14ac:dyDescent="0.3">
      <c r="C20" s="20" t="s">
        <v>0</v>
      </c>
      <c r="D20" s="20"/>
      <c r="E20" s="20"/>
      <c r="F20" s="20"/>
      <c r="G20" s="20"/>
      <c r="H20" s="20"/>
      <c r="I20" s="20"/>
      <c r="J20" s="20"/>
      <c r="K20" s="20"/>
    </row>
    <row r="21" spans="2:13" x14ac:dyDescent="0.3">
      <c r="C21" t="s">
        <v>1</v>
      </c>
      <c r="D21" s="34"/>
      <c r="E21" s="34"/>
      <c r="F21" s="34"/>
      <c r="G21" s="34">
        <v>1</v>
      </c>
      <c r="H21" s="34">
        <f>G21+1</f>
        <v>2</v>
      </c>
      <c r="I21" s="34">
        <f t="shared" ref="I21:K21" si="5">H21+1</f>
        <v>3</v>
      </c>
      <c r="J21" s="34">
        <f t="shared" si="5"/>
        <v>4</v>
      </c>
      <c r="K21" s="34">
        <f t="shared" si="5"/>
        <v>5</v>
      </c>
      <c r="L21" t="s">
        <v>231</v>
      </c>
    </row>
    <row r="22" spans="2:13" x14ac:dyDescent="0.3">
      <c r="C22" t="s">
        <v>2</v>
      </c>
      <c r="D22" s="6">
        <v>2023</v>
      </c>
      <c r="E22" s="6">
        <v>2024</v>
      </c>
      <c r="F22" s="6">
        <v>2025</v>
      </c>
      <c r="G22" s="6">
        <v>2026</v>
      </c>
      <c r="H22" s="6">
        <v>2027</v>
      </c>
      <c r="I22" s="6">
        <v>2028</v>
      </c>
      <c r="J22" s="6">
        <v>2029</v>
      </c>
      <c r="K22" s="6">
        <v>2030</v>
      </c>
    </row>
    <row r="23" spans="2:13" x14ac:dyDescent="0.3">
      <c r="B23" s="18" t="s">
        <v>212</v>
      </c>
      <c r="C23" s="21" t="s">
        <v>3</v>
      </c>
      <c r="D23" s="50">
        <v>146266</v>
      </c>
      <c r="E23" s="50">
        <v>153757</v>
      </c>
      <c r="F23" s="50">
        <v>164963</v>
      </c>
      <c r="G23" s="107">
        <f>F113</f>
        <v>146774</v>
      </c>
      <c r="H23" s="51">
        <f>G23*(1+H12)</f>
        <v>155580.44</v>
      </c>
      <c r="I23" s="51">
        <f>H23*(1+I12)</f>
        <v>164915.26640000002</v>
      </c>
      <c r="J23" s="51">
        <f>I23*(1+J12)</f>
        <v>174810.18238400004</v>
      </c>
      <c r="K23" s="51">
        <f>J23*(1+K12)</f>
        <v>185298.79332704007</v>
      </c>
    </row>
    <row r="24" spans="2:13" x14ac:dyDescent="0.3">
      <c r="B24" s="19" t="s">
        <v>213</v>
      </c>
      <c r="C24" s="23" t="s">
        <v>4</v>
      </c>
      <c r="D24" s="52">
        <v>-48257</v>
      </c>
      <c r="E24" s="52">
        <v>-49479</v>
      </c>
      <c r="F24" s="52">
        <v>-58202</v>
      </c>
      <c r="G24" s="108">
        <f>F114</f>
        <v>-50112</v>
      </c>
      <c r="H24" s="44">
        <f>H13*H23</f>
        <v>-53118.720000000001</v>
      </c>
      <c r="I24" s="44">
        <f>I13*I23</f>
        <v>-56305.843200000003</v>
      </c>
      <c r="J24" s="44">
        <f>J13*J23</f>
        <v>-59684.193792000013</v>
      </c>
      <c r="K24" s="44">
        <f>K13*K23</f>
        <v>-63265.245419520019</v>
      </c>
    </row>
    <row r="25" spans="2:13" x14ac:dyDescent="0.3">
      <c r="B25" s="18" t="s">
        <v>214</v>
      </c>
      <c r="C25" s="22" t="s">
        <v>5</v>
      </c>
      <c r="D25" s="53">
        <f>D23+D24</f>
        <v>98009</v>
      </c>
      <c r="E25" s="53">
        <f t="shared" ref="E25:K25" si="6">E23+E24</f>
        <v>104278</v>
      </c>
      <c r="F25" s="53">
        <f t="shared" si="6"/>
        <v>106761</v>
      </c>
      <c r="G25" s="53">
        <f t="shared" si="6"/>
        <v>96662</v>
      </c>
      <c r="H25" s="53">
        <f t="shared" si="6"/>
        <v>102461.72</v>
      </c>
      <c r="I25" s="53">
        <f t="shared" si="6"/>
        <v>108609.42320000002</v>
      </c>
      <c r="J25" s="53">
        <f t="shared" si="6"/>
        <v>115125.98859200004</v>
      </c>
      <c r="K25" s="53">
        <f t="shared" si="6"/>
        <v>122033.54790752006</v>
      </c>
    </row>
    <row r="26" spans="2:13" x14ac:dyDescent="0.3">
      <c r="B26" s="19" t="s">
        <v>215</v>
      </c>
      <c r="C26" s="23" t="s">
        <v>6</v>
      </c>
      <c r="D26" s="52">
        <v>-23368</v>
      </c>
      <c r="E26" s="52">
        <v>-28218</v>
      </c>
      <c r="F26" s="52">
        <v>-30450</v>
      </c>
      <c r="G26" s="108">
        <f>F116</f>
        <v>-18536</v>
      </c>
      <c r="H26" s="44">
        <f>H14*H23</f>
        <v>-19648.16</v>
      </c>
      <c r="I26" s="44">
        <f t="shared" ref="I26:K26" si="7">I14*I23</f>
        <v>-20827.049600000002</v>
      </c>
      <c r="J26" s="44">
        <f t="shared" si="7"/>
        <v>-22076.672576000004</v>
      </c>
      <c r="K26" s="44">
        <f t="shared" si="7"/>
        <v>-23401.272930560008</v>
      </c>
      <c r="L26" s="16" t="s">
        <v>232</v>
      </c>
    </row>
    <row r="27" spans="2:13" x14ac:dyDescent="0.3">
      <c r="B27" s="18" t="s">
        <v>216</v>
      </c>
      <c r="C27" s="22" t="s">
        <v>7</v>
      </c>
      <c r="D27" s="54">
        <f>D25+D26</f>
        <v>74641</v>
      </c>
      <c r="E27" s="54">
        <f t="shared" ref="E27:K27" si="8">E25+E26</f>
        <v>76060</v>
      </c>
      <c r="F27" s="54">
        <f t="shared" si="8"/>
        <v>76311</v>
      </c>
      <c r="G27" s="54">
        <f t="shared" si="8"/>
        <v>78126</v>
      </c>
      <c r="H27" s="54">
        <f t="shared" si="8"/>
        <v>82813.56</v>
      </c>
      <c r="I27" s="54">
        <f t="shared" si="8"/>
        <v>87782.373600000021</v>
      </c>
      <c r="J27" s="54">
        <f t="shared" si="8"/>
        <v>93049.316016000026</v>
      </c>
      <c r="K27" s="54">
        <f t="shared" si="8"/>
        <v>98632.274976960049</v>
      </c>
    </row>
    <row r="28" spans="2:13" x14ac:dyDescent="0.3">
      <c r="C28" s="23" t="s">
        <v>8</v>
      </c>
      <c r="D28" s="55">
        <v>43</v>
      </c>
      <c r="E28" s="55">
        <v>344</v>
      </c>
      <c r="F28" s="55">
        <v>107</v>
      </c>
      <c r="G28" s="108">
        <f>F118</f>
        <v>-44</v>
      </c>
      <c r="H28" s="44">
        <f>H15</f>
        <v>-44</v>
      </c>
      <c r="I28" s="44">
        <f>I15</f>
        <v>-44</v>
      </c>
      <c r="J28" s="44">
        <f>J15</f>
        <v>-44</v>
      </c>
      <c r="K28" s="44">
        <f>K15</f>
        <v>-44</v>
      </c>
    </row>
    <row r="29" spans="2:13" x14ac:dyDescent="0.3">
      <c r="B29" s="18" t="s">
        <v>217</v>
      </c>
      <c r="C29" s="22" t="s">
        <v>9</v>
      </c>
      <c r="D29" s="54">
        <f>D27+D28</f>
        <v>74684</v>
      </c>
      <c r="E29" s="54">
        <f t="shared" ref="E29:K29" si="9">E27+E28</f>
        <v>76404</v>
      </c>
      <c r="F29" s="54">
        <f t="shared" si="9"/>
        <v>76418</v>
      </c>
      <c r="G29" s="54">
        <f t="shared" si="9"/>
        <v>78082</v>
      </c>
      <c r="H29" s="54">
        <f t="shared" si="9"/>
        <v>82769.56</v>
      </c>
      <c r="I29" s="54">
        <f t="shared" si="9"/>
        <v>87738.373600000021</v>
      </c>
      <c r="J29" s="54">
        <f t="shared" si="9"/>
        <v>93005.316016000026</v>
      </c>
      <c r="K29" s="54">
        <f t="shared" si="9"/>
        <v>98588.274976960049</v>
      </c>
    </row>
    <row r="30" spans="2:13" x14ac:dyDescent="0.3">
      <c r="B30" s="19" t="s">
        <v>218</v>
      </c>
      <c r="C30" s="23" t="s">
        <v>10</v>
      </c>
      <c r="D30" s="55">
        <v>-14633</v>
      </c>
      <c r="E30" s="55">
        <v>-15238</v>
      </c>
      <c r="F30" s="55">
        <v>-15071</v>
      </c>
      <c r="G30" s="116">
        <f>F120</f>
        <v>-14832.79</v>
      </c>
      <c r="H30" s="56">
        <f>IF(H29&gt;0,-$D$16*H29,0)</f>
        <v>-15726.216399999999</v>
      </c>
      <c r="I30" s="56">
        <f>IF(I29&gt;0,-$D$16*I29,0)</f>
        <v>-16670.290984000003</v>
      </c>
      <c r="J30" s="56">
        <f>IF(J29&gt;0,-$D$16*J29,0)</f>
        <v>-17671.010043040005</v>
      </c>
      <c r="K30" s="56">
        <f>IF(K29&gt;0,-$D$16*K29,0)</f>
        <v>-18731.772245622411</v>
      </c>
      <c r="L30" s="16" t="s">
        <v>233</v>
      </c>
    </row>
    <row r="31" spans="2:13" x14ac:dyDescent="0.3">
      <c r="B31" s="18" t="s">
        <v>219</v>
      </c>
      <c r="C31" s="29" t="s">
        <v>11</v>
      </c>
      <c r="D31" s="57">
        <f>D29+D30</f>
        <v>60051</v>
      </c>
      <c r="E31" s="57">
        <f t="shared" ref="E31:K31" si="10">E29+E30</f>
        <v>61166</v>
      </c>
      <c r="F31" s="57">
        <f t="shared" si="10"/>
        <v>61347</v>
      </c>
      <c r="G31" s="57">
        <f t="shared" si="10"/>
        <v>63249.21</v>
      </c>
      <c r="H31" s="57">
        <f t="shared" si="10"/>
        <v>67043.343599999993</v>
      </c>
      <c r="I31" s="57">
        <f t="shared" si="10"/>
        <v>71068.082616000014</v>
      </c>
      <c r="J31" s="57">
        <f t="shared" si="10"/>
        <v>75334.305972960021</v>
      </c>
      <c r="K31" s="57">
        <f t="shared" si="10"/>
        <v>79856.502731337634</v>
      </c>
    </row>
    <row r="32" spans="2:13" x14ac:dyDescent="0.3">
      <c r="C32" s="23" t="s">
        <v>47</v>
      </c>
      <c r="D32" s="58">
        <v>906</v>
      </c>
      <c r="E32" s="58">
        <v>-18</v>
      </c>
      <c r="F32" s="58">
        <v>7128</v>
      </c>
      <c r="G32" s="109">
        <f>F122</f>
        <v>-3655</v>
      </c>
      <c r="H32" s="110">
        <v>0</v>
      </c>
      <c r="I32" s="54">
        <f>H32</f>
        <v>0</v>
      </c>
      <c r="J32" s="54">
        <f>I32</f>
        <v>0</v>
      </c>
      <c r="K32" s="54">
        <f>J32</f>
        <v>0</v>
      </c>
      <c r="L32" s="16" t="s">
        <v>234</v>
      </c>
    </row>
    <row r="33" spans="2:12" x14ac:dyDescent="0.3">
      <c r="B33" s="18" t="s">
        <v>220</v>
      </c>
      <c r="C33" s="22" t="s">
        <v>48</v>
      </c>
      <c r="D33" s="54">
        <f t="shared" ref="D33:K33" si="11">D31+D32</f>
        <v>60957</v>
      </c>
      <c r="E33" s="54">
        <f t="shared" si="11"/>
        <v>61148</v>
      </c>
      <c r="F33" s="54">
        <f t="shared" si="11"/>
        <v>68475</v>
      </c>
      <c r="G33" s="54">
        <f t="shared" si="11"/>
        <v>59594.21</v>
      </c>
      <c r="H33" s="54">
        <f t="shared" si="11"/>
        <v>67043.343599999993</v>
      </c>
      <c r="I33" s="54">
        <f t="shared" si="11"/>
        <v>71068.082616000014</v>
      </c>
      <c r="J33" s="54">
        <f t="shared" si="11"/>
        <v>75334.305972960021</v>
      </c>
      <c r="K33" s="54">
        <f t="shared" si="11"/>
        <v>79856.502731337634</v>
      </c>
      <c r="L33" s="12"/>
    </row>
    <row r="34" spans="2:12" x14ac:dyDescent="0.3">
      <c r="B34" s="19" t="s">
        <v>221</v>
      </c>
      <c r="C34" s="22" t="s">
        <v>52</v>
      </c>
      <c r="D34" s="54">
        <f>D31-D35</f>
        <v>4991</v>
      </c>
      <c r="E34" s="54">
        <f>E31-E35</f>
        <v>5383</v>
      </c>
      <c r="F34" s="54">
        <f>F31-F35</f>
        <v>5053</v>
      </c>
      <c r="G34" s="54">
        <f>G18*G31</f>
        <v>2429.2124084699999</v>
      </c>
      <c r="H34" s="54">
        <f>H18*H31</f>
        <v>2574.9336976451996</v>
      </c>
      <c r="I34" s="54">
        <f>I18*I31</f>
        <v>2729.5118490327122</v>
      </c>
      <c r="J34" s="54">
        <f>J18*J31</f>
        <v>2893.3646895034753</v>
      </c>
      <c r="K34" s="54">
        <f>K18*K31</f>
        <v>3067.0487004024844</v>
      </c>
      <c r="L34" s="13" t="s">
        <v>235</v>
      </c>
    </row>
    <row r="35" spans="2:12" x14ac:dyDescent="0.3">
      <c r="B35" s="18" t="s">
        <v>222</v>
      </c>
      <c r="C35" s="31" t="s">
        <v>46</v>
      </c>
      <c r="D35" s="59">
        <v>55060</v>
      </c>
      <c r="E35" s="59">
        <v>55783</v>
      </c>
      <c r="F35" s="59">
        <v>56294</v>
      </c>
      <c r="G35" s="60">
        <f>G31-G34</f>
        <v>60819.997591530002</v>
      </c>
      <c r="H35" s="60">
        <f>H31-H34</f>
        <v>64468.40990235479</v>
      </c>
      <c r="I35" s="60">
        <f>I31-I34</f>
        <v>68338.570766967299</v>
      </c>
      <c r="J35" s="60">
        <f>J31-J34</f>
        <v>72440.941283456545</v>
      </c>
      <c r="K35" s="60">
        <f>K31-K34</f>
        <v>76789.454030935143</v>
      </c>
      <c r="L35" s="13" t="s">
        <v>236</v>
      </c>
    </row>
    <row r="36" spans="2:12" x14ac:dyDescent="0.3">
      <c r="B36" s="17"/>
      <c r="C36" s="1"/>
      <c r="D36" s="10"/>
      <c r="E36" s="10"/>
      <c r="F36" s="10"/>
      <c r="G36" s="11"/>
      <c r="H36" s="11"/>
      <c r="I36" s="11"/>
      <c r="J36" s="11"/>
      <c r="K36" s="11"/>
      <c r="L36" s="12"/>
    </row>
    <row r="37" spans="2:12" x14ac:dyDescent="0.3">
      <c r="B37" s="17"/>
      <c r="C37" s="1" t="s">
        <v>163</v>
      </c>
      <c r="D37" s="14">
        <v>93.33</v>
      </c>
      <c r="E37" s="15">
        <f t="shared" ref="E37:K37" si="12">$D$37</f>
        <v>93.33</v>
      </c>
      <c r="F37" s="15">
        <f t="shared" si="12"/>
        <v>93.33</v>
      </c>
      <c r="G37" s="15">
        <f t="shared" si="12"/>
        <v>93.33</v>
      </c>
      <c r="H37" s="15">
        <f t="shared" si="12"/>
        <v>93.33</v>
      </c>
      <c r="I37" s="15">
        <f t="shared" si="12"/>
        <v>93.33</v>
      </c>
      <c r="J37" s="15">
        <f t="shared" si="12"/>
        <v>93.33</v>
      </c>
      <c r="K37" s="15">
        <f t="shared" si="12"/>
        <v>93.33</v>
      </c>
    </row>
    <row r="38" spans="2:12" x14ac:dyDescent="0.3">
      <c r="B38" s="17"/>
      <c r="C38" s="1" t="s">
        <v>51</v>
      </c>
      <c r="D38" s="33">
        <f>D22</f>
        <v>2023</v>
      </c>
      <c r="E38" s="33">
        <f t="shared" ref="E38:K38" si="13">E22</f>
        <v>2024</v>
      </c>
      <c r="F38" s="33">
        <f t="shared" si="13"/>
        <v>2025</v>
      </c>
      <c r="G38" s="33">
        <f t="shared" si="13"/>
        <v>2026</v>
      </c>
      <c r="H38" s="33">
        <f t="shared" si="13"/>
        <v>2027</v>
      </c>
      <c r="I38" s="33">
        <f t="shared" si="13"/>
        <v>2028</v>
      </c>
      <c r="J38" s="33">
        <f t="shared" si="13"/>
        <v>2029</v>
      </c>
      <c r="K38" s="33">
        <f t="shared" si="13"/>
        <v>2030</v>
      </c>
    </row>
    <row r="39" spans="2:12" x14ac:dyDescent="0.3">
      <c r="B39" s="18" t="s">
        <v>223</v>
      </c>
      <c r="C39" s="21" t="s">
        <v>49</v>
      </c>
      <c r="D39" s="61">
        <f t="shared" ref="D39:K39" si="14">D35/$D$37</f>
        <v>589.94964105860925</v>
      </c>
      <c r="E39" s="61">
        <f t="shared" si="14"/>
        <v>597.69634629808206</v>
      </c>
      <c r="F39" s="61">
        <f t="shared" si="14"/>
        <v>603.17154184078004</v>
      </c>
      <c r="G39" s="61">
        <f t="shared" si="14"/>
        <v>651.66610512729028</v>
      </c>
      <c r="H39" s="61">
        <f t="shared" si="14"/>
        <v>690.75763315498546</v>
      </c>
      <c r="I39" s="61">
        <f t="shared" si="14"/>
        <v>732.22512340048536</v>
      </c>
      <c r="J39" s="61">
        <f t="shared" si="14"/>
        <v>776.18066306071512</v>
      </c>
      <c r="K39" s="61">
        <f t="shared" si="14"/>
        <v>822.77353510055866</v>
      </c>
      <c r="L39" s="132" t="s">
        <v>226</v>
      </c>
    </row>
    <row r="40" spans="2:12" x14ac:dyDescent="0.3">
      <c r="B40" s="18" t="s">
        <v>224</v>
      </c>
      <c r="C40" s="23" t="s">
        <v>32</v>
      </c>
      <c r="D40" s="62">
        <f>D41*D39</f>
        <v>353.96978463516552</v>
      </c>
      <c r="E40" s="62">
        <f t="shared" ref="E40:K40" si="15">E41*E39</f>
        <v>466.20315011250403</v>
      </c>
      <c r="F40" s="62">
        <f t="shared" si="15"/>
        <v>476.50551805421622</v>
      </c>
      <c r="G40" s="63">
        <f t="shared" si="15"/>
        <v>456.16627358910318</v>
      </c>
      <c r="H40" s="62">
        <f t="shared" si="15"/>
        <v>483.5303432084898</v>
      </c>
      <c r="I40" s="62">
        <f t="shared" si="15"/>
        <v>512.55758638033967</v>
      </c>
      <c r="J40" s="62">
        <f t="shared" si="15"/>
        <v>543.32646414250053</v>
      </c>
      <c r="K40" s="62">
        <f t="shared" si="15"/>
        <v>575.94147457039105</v>
      </c>
      <c r="L40" s="12" t="s">
        <v>237</v>
      </c>
    </row>
    <row r="41" spans="2:12" x14ac:dyDescent="0.3">
      <c r="B41" s="18" t="s">
        <v>225</v>
      </c>
      <c r="C41" s="22" t="s">
        <v>50</v>
      </c>
      <c r="D41" s="45">
        <v>0.6</v>
      </c>
      <c r="E41" s="45">
        <v>0.78</v>
      </c>
      <c r="F41" s="45">
        <v>0.79</v>
      </c>
      <c r="G41" s="43">
        <f>$D$19</f>
        <v>0.7</v>
      </c>
      <c r="H41" s="43">
        <f>$D$19</f>
        <v>0.7</v>
      </c>
      <c r="I41" s="43">
        <f>$D$19</f>
        <v>0.7</v>
      </c>
      <c r="J41" s="43">
        <f>$D$19</f>
        <v>0.7</v>
      </c>
      <c r="K41" s="43">
        <f>$D$19</f>
        <v>0.7</v>
      </c>
      <c r="L41" s="12" t="s">
        <v>238</v>
      </c>
    </row>
    <row r="42" spans="2:12" x14ac:dyDescent="0.3">
      <c r="B42" s="18" t="s">
        <v>65</v>
      </c>
      <c r="C42" s="23" t="s">
        <v>55</v>
      </c>
      <c r="D42" s="44">
        <f t="shared" ref="D42:K42" si="16">D35-D40*$D$37</f>
        <v>22024</v>
      </c>
      <c r="E42" s="44">
        <f t="shared" si="16"/>
        <v>12272.260000000002</v>
      </c>
      <c r="F42" s="44">
        <f t="shared" si="16"/>
        <v>11821.739999999998</v>
      </c>
      <c r="G42" s="44">
        <f t="shared" si="16"/>
        <v>18245.999277458999</v>
      </c>
      <c r="H42" s="44">
        <f t="shared" si="16"/>
        <v>19340.522970706435</v>
      </c>
      <c r="I42" s="44">
        <f t="shared" si="16"/>
        <v>20501.571230090201</v>
      </c>
      <c r="J42" s="44">
        <f t="shared" si="16"/>
        <v>21732.282385036975</v>
      </c>
      <c r="K42" s="44">
        <f t="shared" si="16"/>
        <v>23036.836209280547</v>
      </c>
      <c r="L42" s="12" t="s">
        <v>60</v>
      </c>
    </row>
    <row r="43" spans="2:12" x14ac:dyDescent="0.3">
      <c r="B43" s="18" t="s">
        <v>66</v>
      </c>
      <c r="C43" s="23" t="s">
        <v>56</v>
      </c>
      <c r="D43" s="44">
        <f>E43-E42-E32</f>
        <v>262546.66899999999</v>
      </c>
      <c r="E43" s="44">
        <f>F43-F42-F32</f>
        <v>274800.929</v>
      </c>
      <c r="F43" s="55">
        <v>293750.66899999999</v>
      </c>
      <c r="G43" s="44">
        <f>F43+G42+G32</f>
        <v>308341.66827745899</v>
      </c>
      <c r="H43" s="44">
        <f>G43+H42+H32</f>
        <v>327682.19124816544</v>
      </c>
      <c r="I43" s="44">
        <f>H43+I42+I32</f>
        <v>348183.76247825567</v>
      </c>
      <c r="J43" s="44">
        <f>I43+J42+J32</f>
        <v>369916.04486329266</v>
      </c>
      <c r="K43" s="44">
        <f>J43+K42+K32</f>
        <v>392952.88107257319</v>
      </c>
      <c r="L43" s="12"/>
    </row>
    <row r="44" spans="2:12" x14ac:dyDescent="0.3">
      <c r="B44" s="18" t="s">
        <v>67</v>
      </c>
      <c r="C44" s="23" t="s">
        <v>57</v>
      </c>
      <c r="D44" s="62">
        <f t="shared" ref="D44:K44" si="17">D43/$D$37</f>
        <v>2813.1004928747457</v>
      </c>
      <c r="E44" s="62">
        <f t="shared" si="17"/>
        <v>2944.4008250294655</v>
      </c>
      <c r="F44" s="62">
        <f t="shared" si="17"/>
        <v>3147.4410050358942</v>
      </c>
      <c r="G44" s="62">
        <f t="shared" si="17"/>
        <v>3303.7787236414765</v>
      </c>
      <c r="H44" s="62">
        <f t="shared" si="17"/>
        <v>3511.0060135879721</v>
      </c>
      <c r="I44" s="62">
        <f t="shared" si="17"/>
        <v>3730.6735506081181</v>
      </c>
      <c r="J44" s="62">
        <f t="shared" si="17"/>
        <v>3963.5277495263331</v>
      </c>
      <c r="K44" s="62">
        <f t="shared" si="17"/>
        <v>4210.3598100565005</v>
      </c>
    </row>
    <row r="45" spans="2:12" x14ac:dyDescent="0.3">
      <c r="B45" s="18" t="s">
        <v>68</v>
      </c>
      <c r="C45" s="29" t="s">
        <v>58</v>
      </c>
      <c r="D45" s="64">
        <f t="shared" ref="D45:K45" si="18">D35/D43</f>
        <v>0.20971509640444153</v>
      </c>
      <c r="E45" s="64">
        <f t="shared" si="18"/>
        <v>0.20299421913526355</v>
      </c>
      <c r="F45" s="64">
        <f t="shared" si="18"/>
        <v>0.19163871248919606</v>
      </c>
      <c r="G45" s="64">
        <f t="shared" si="18"/>
        <v>0.19724871416600617</v>
      </c>
      <c r="H45" s="64">
        <f t="shared" si="18"/>
        <v>0.19674065794295961</v>
      </c>
      <c r="I45" s="64">
        <f t="shared" si="18"/>
        <v>0.19627156154714451</v>
      </c>
      <c r="J45" s="64">
        <f t="shared" si="18"/>
        <v>0.19583076292413337</v>
      </c>
      <c r="K45" s="64">
        <f t="shared" si="18"/>
        <v>0.19541644235140027</v>
      </c>
    </row>
    <row r="46" spans="2:12" x14ac:dyDescent="0.3">
      <c r="B46" s="18" t="s">
        <v>165</v>
      </c>
      <c r="C46" s="23" t="s">
        <v>164</v>
      </c>
      <c r="D46" s="43">
        <f t="shared" ref="D46:K46" si="19">1-D41</f>
        <v>0.4</v>
      </c>
      <c r="E46" s="43">
        <f t="shared" si="19"/>
        <v>0.21999999999999997</v>
      </c>
      <c r="F46" s="43">
        <f t="shared" si="19"/>
        <v>0.20999999999999996</v>
      </c>
      <c r="G46" s="43">
        <f t="shared" si="19"/>
        <v>0.30000000000000004</v>
      </c>
      <c r="H46" s="43">
        <f t="shared" si="19"/>
        <v>0.30000000000000004</v>
      </c>
      <c r="I46" s="43">
        <f t="shared" si="19"/>
        <v>0.30000000000000004</v>
      </c>
      <c r="J46" s="43">
        <f t="shared" si="19"/>
        <v>0.30000000000000004</v>
      </c>
      <c r="K46" s="43">
        <f t="shared" si="19"/>
        <v>0.30000000000000004</v>
      </c>
    </row>
    <row r="47" spans="2:12" x14ac:dyDescent="0.3">
      <c r="B47" s="18" t="s">
        <v>167</v>
      </c>
      <c r="C47" s="31" t="s">
        <v>166</v>
      </c>
      <c r="D47" s="65">
        <f t="shared" ref="D47:K47" si="20">D45*D46</f>
        <v>8.3886038561776621E-2</v>
      </c>
      <c r="E47" s="65">
        <f t="shared" si="20"/>
        <v>4.4658728209757977E-2</v>
      </c>
      <c r="F47" s="65">
        <f t="shared" si="20"/>
        <v>4.0244129622731169E-2</v>
      </c>
      <c r="G47" s="65">
        <f t="shared" si="20"/>
        <v>5.917461424980186E-2</v>
      </c>
      <c r="H47" s="88">
        <f>H45*H46</f>
        <v>5.9022197382887893E-2</v>
      </c>
      <c r="I47" s="65">
        <f t="shared" si="20"/>
        <v>5.8881468464143362E-2</v>
      </c>
      <c r="J47" s="65">
        <f t="shared" si="20"/>
        <v>5.8749228877240017E-2</v>
      </c>
      <c r="K47" s="65">
        <f t="shared" si="20"/>
        <v>5.8624932705420088E-2</v>
      </c>
    </row>
    <row r="48" spans="2:12" x14ac:dyDescent="0.3">
      <c r="B48" s="18"/>
      <c r="C48" s="1"/>
      <c r="D48" s="9"/>
      <c r="E48" s="9"/>
      <c r="F48" s="9"/>
      <c r="G48" s="9"/>
      <c r="H48" s="9"/>
      <c r="I48" s="9"/>
      <c r="J48" s="9"/>
      <c r="K48" s="9"/>
    </row>
    <row r="49" spans="2:11" x14ac:dyDescent="0.3">
      <c r="B49" s="17"/>
      <c r="C49" s="20" t="s">
        <v>31</v>
      </c>
      <c r="D49" s="32"/>
      <c r="E49" s="32"/>
      <c r="F49" s="32"/>
      <c r="G49" s="32"/>
      <c r="H49" s="32"/>
      <c r="I49" s="32"/>
      <c r="J49" s="32"/>
      <c r="K49" s="32"/>
    </row>
    <row r="50" spans="2:11" x14ac:dyDescent="0.3">
      <c r="B50" s="18" t="s">
        <v>69</v>
      </c>
      <c r="C50" s="21" t="s">
        <v>61</v>
      </c>
      <c r="D50" s="41">
        <f>K45</f>
        <v>0.19541644235140027</v>
      </c>
      <c r="E50" s="95"/>
      <c r="G50" s="3"/>
      <c r="H50" s="3"/>
      <c r="I50" s="3"/>
      <c r="J50" s="3"/>
      <c r="K50" s="3"/>
    </row>
    <row r="51" spans="2:11" x14ac:dyDescent="0.3">
      <c r="B51" s="18" t="s">
        <v>169</v>
      </c>
      <c r="C51" s="23" t="s">
        <v>168</v>
      </c>
      <c r="D51" s="43">
        <f>K46</f>
        <v>0.30000000000000004</v>
      </c>
      <c r="E51" s="96"/>
      <c r="G51" s="3"/>
      <c r="H51" s="3"/>
      <c r="I51" s="3"/>
      <c r="J51" s="3"/>
      <c r="K51" s="3"/>
    </row>
    <row r="52" spans="2:11" x14ac:dyDescent="0.3">
      <c r="B52" s="18" t="s">
        <v>171</v>
      </c>
      <c r="C52" s="23" t="s">
        <v>170</v>
      </c>
      <c r="D52" s="66">
        <f>K47</f>
        <v>5.8624932705420088E-2</v>
      </c>
      <c r="E52" s="95"/>
      <c r="F52" s="95"/>
      <c r="G52" s="3"/>
      <c r="H52" s="3"/>
      <c r="I52" s="3"/>
      <c r="J52" s="3"/>
      <c r="K52" s="3"/>
    </row>
    <row r="53" spans="2:11" x14ac:dyDescent="0.3">
      <c r="B53" s="18" t="s">
        <v>70</v>
      </c>
      <c r="C53" s="23" t="s">
        <v>35</v>
      </c>
      <c r="D53" s="67">
        <v>0.05</v>
      </c>
      <c r="E53" s="97"/>
      <c r="F53" s="97"/>
      <c r="G53" s="3"/>
      <c r="H53" s="3"/>
      <c r="I53" s="3"/>
      <c r="J53" s="3"/>
      <c r="K53" s="3"/>
    </row>
    <row r="54" spans="2:11" x14ac:dyDescent="0.3">
      <c r="B54" s="17" t="s">
        <v>39</v>
      </c>
      <c r="C54" s="23" t="s">
        <v>38</v>
      </c>
      <c r="D54" s="68">
        <f>G40</f>
        <v>456.16627358910318</v>
      </c>
      <c r="E54" s="97"/>
      <c r="F54" s="3"/>
      <c r="G54" s="3"/>
      <c r="H54" s="3"/>
      <c r="I54" s="3"/>
      <c r="J54" s="3"/>
      <c r="K54" s="3"/>
    </row>
    <row r="55" spans="2:11" x14ac:dyDescent="0.3">
      <c r="B55" s="17" t="s">
        <v>37</v>
      </c>
      <c r="C55" s="31" t="s">
        <v>36</v>
      </c>
      <c r="D55" s="69">
        <f>D54/($D$9-$D$53)</f>
        <v>6439.0248092866459</v>
      </c>
      <c r="E55" s="3"/>
      <c r="F55" s="3"/>
      <c r="G55" s="3"/>
      <c r="H55" s="3"/>
      <c r="I55" s="3"/>
      <c r="J55" s="3"/>
      <c r="K55" s="3"/>
    </row>
    <row r="56" spans="2:11" x14ac:dyDescent="0.3">
      <c r="B56" s="17"/>
      <c r="C56" s="1" t="s">
        <v>172</v>
      </c>
      <c r="D56" s="94" t="str">
        <f>IF(AND($D$53&lt;$D$52,$D$53&lt;$D$9),"OK","LANGGAR")</f>
        <v>OK</v>
      </c>
      <c r="E56" s="95"/>
    </row>
    <row r="57" spans="2:11" x14ac:dyDescent="0.3">
      <c r="B57" s="17"/>
      <c r="C57" s="20" t="s">
        <v>173</v>
      </c>
      <c r="D57" s="20"/>
      <c r="E57" s="98"/>
      <c r="F57" s="20"/>
      <c r="G57" s="20"/>
      <c r="H57" s="20"/>
      <c r="I57" s="20"/>
      <c r="J57" s="20"/>
      <c r="K57" s="20"/>
    </row>
    <row r="58" spans="2:11" x14ac:dyDescent="0.3">
      <c r="B58" s="18" t="s">
        <v>71</v>
      </c>
      <c r="C58" t="s">
        <v>51</v>
      </c>
      <c r="D58" s="33">
        <f>G38</f>
        <v>2026</v>
      </c>
      <c r="E58" s="33">
        <f>H38</f>
        <v>2027</v>
      </c>
      <c r="F58" s="33">
        <f>I38</f>
        <v>2028</v>
      </c>
      <c r="G58" s="33">
        <f>J38</f>
        <v>2029</v>
      </c>
      <c r="H58" s="33">
        <f>K38</f>
        <v>2030</v>
      </c>
    </row>
    <row r="59" spans="2:11" x14ac:dyDescent="0.3">
      <c r="B59" s="18" t="s">
        <v>72</v>
      </c>
      <c r="C59" s="26" t="s">
        <v>62</v>
      </c>
      <c r="D59" s="70">
        <f>G40</f>
        <v>456.16627358910318</v>
      </c>
      <c r="E59" s="70">
        <f>H40</f>
        <v>483.5303432084898</v>
      </c>
      <c r="F59" s="70">
        <f>I40</f>
        <v>512.55758638033967</v>
      </c>
      <c r="G59" s="70">
        <f>J40</f>
        <v>543.32646414250053</v>
      </c>
      <c r="H59" s="70">
        <f>K40</f>
        <v>575.94147457039105</v>
      </c>
    </row>
    <row r="60" spans="2:11" x14ac:dyDescent="0.3">
      <c r="B60" s="18" t="s">
        <v>73</v>
      </c>
      <c r="C60" s="23" t="s">
        <v>63</v>
      </c>
      <c r="D60" s="91">
        <f>1/(1+$D$9)^G$21</f>
        <v>0.8921848178693913</v>
      </c>
      <c r="E60" s="91">
        <f>1/(1+$D$9)^H$21</f>
        <v>0.79599374923663901</v>
      </c>
      <c r="F60" s="91">
        <f>1/(1+$D$9)^I$21</f>
        <v>0.71017353818786466</v>
      </c>
      <c r="G60" s="91">
        <f>1/(1+$D$9)^J$21</f>
        <v>0.63360604882380134</v>
      </c>
      <c r="H60" s="91">
        <f>1/(1+$D$9)^K$21</f>
        <v>0.5652936972708078</v>
      </c>
    </row>
    <row r="61" spans="2:11" x14ac:dyDescent="0.3">
      <c r="B61" s="18" t="s">
        <v>175</v>
      </c>
      <c r="C61" s="22" t="s">
        <v>174</v>
      </c>
      <c r="D61" s="71">
        <f>D59*D60</f>
        <v>406.98462372025296</v>
      </c>
      <c r="E61" s="71">
        <f>E59*E60</f>
        <v>384.88713076020463</v>
      </c>
      <c r="F61" s="71">
        <f>F59*F60</f>
        <v>364.00483464475792</v>
      </c>
      <c r="G61" s="71">
        <f>G59*G60</f>
        <v>344.25493416673652</v>
      </c>
      <c r="H61" s="71">
        <f>H59*H60</f>
        <v>325.57608557149729</v>
      </c>
    </row>
    <row r="62" spans="2:11" x14ac:dyDescent="0.3">
      <c r="B62" s="18" t="s">
        <v>177</v>
      </c>
      <c r="C62" s="22" t="s">
        <v>176</v>
      </c>
      <c r="D62" s="28">
        <f>SUM(D61:H61)</f>
        <v>1825.7076088634494</v>
      </c>
      <c r="E62" s="23"/>
      <c r="F62" s="23"/>
      <c r="G62" s="23"/>
      <c r="H62" s="23"/>
    </row>
    <row r="63" spans="2:11" x14ac:dyDescent="0.3">
      <c r="B63" s="18" t="s">
        <v>179</v>
      </c>
      <c r="C63" s="22" t="s">
        <v>178</v>
      </c>
      <c r="D63" s="71">
        <f>H59*(1+$D$53)</f>
        <v>604.73854829891059</v>
      </c>
      <c r="E63" s="23"/>
      <c r="F63" s="23"/>
      <c r="G63" s="23"/>
      <c r="H63" s="23"/>
    </row>
    <row r="64" spans="2:11" x14ac:dyDescent="0.3">
      <c r="B64" s="18" t="s">
        <v>74</v>
      </c>
      <c r="C64" s="22" t="s">
        <v>64</v>
      </c>
      <c r="D64" s="27">
        <f>D63/($D$9-$D$53)</f>
        <v>8536.1999364647763</v>
      </c>
      <c r="E64" s="99"/>
      <c r="F64" s="23"/>
      <c r="G64" s="23"/>
      <c r="H64" s="23"/>
    </row>
    <row r="65" spans="2:11" x14ac:dyDescent="0.3">
      <c r="B65" s="18" t="s">
        <v>181</v>
      </c>
      <c r="C65" s="22" t="s">
        <v>180</v>
      </c>
      <c r="D65" s="28">
        <f>D64*H60</f>
        <v>4825.4600227270084</v>
      </c>
      <c r="E65" s="23"/>
      <c r="F65" s="23"/>
      <c r="G65" s="23"/>
      <c r="H65" s="23"/>
    </row>
    <row r="66" spans="2:11" x14ac:dyDescent="0.3">
      <c r="B66" s="18" t="s">
        <v>183</v>
      </c>
      <c r="C66" s="29" t="s">
        <v>182</v>
      </c>
      <c r="D66" s="30">
        <f>D62+D65</f>
        <v>6651.1676315904579</v>
      </c>
      <c r="E66" s="23"/>
      <c r="F66" s="23"/>
      <c r="G66" s="23"/>
      <c r="H66" s="23"/>
    </row>
    <row r="67" spans="2:11" x14ac:dyDescent="0.3">
      <c r="B67" s="19" t="s">
        <v>185</v>
      </c>
      <c r="C67" s="24" t="s">
        <v>184</v>
      </c>
      <c r="D67" s="72">
        <f>D65/D66</f>
        <v>0.72550569915092067</v>
      </c>
      <c r="E67" s="100"/>
      <c r="F67" s="25"/>
      <c r="G67" s="25"/>
      <c r="H67" s="25"/>
    </row>
    <row r="68" spans="2:11" x14ac:dyDescent="0.3">
      <c r="C68" s="2"/>
      <c r="D68" s="3"/>
      <c r="E68" s="3"/>
      <c r="F68" s="3"/>
      <c r="G68" s="3"/>
      <c r="H68" s="3"/>
      <c r="I68" s="3"/>
      <c r="J68" s="3"/>
      <c r="K68" s="3"/>
    </row>
    <row r="69" spans="2:11" x14ac:dyDescent="0.3">
      <c r="C69" s="20" t="s">
        <v>186</v>
      </c>
      <c r="D69" s="20" t="s">
        <v>25</v>
      </c>
      <c r="E69" s="20" t="s">
        <v>26</v>
      </c>
      <c r="F69" s="20"/>
      <c r="G69" s="20"/>
      <c r="H69" s="20"/>
      <c r="I69" s="20"/>
      <c r="J69" s="20"/>
      <c r="K69" s="20"/>
    </row>
    <row r="70" spans="2:11" ht="15" customHeight="1" x14ac:dyDescent="0.3">
      <c r="C70" s="21" t="s">
        <v>22</v>
      </c>
      <c r="D70" s="73">
        <v>2.95</v>
      </c>
      <c r="E70" s="21">
        <v>13.36</v>
      </c>
    </row>
    <row r="71" spans="2:11" x14ac:dyDescent="0.3">
      <c r="C71" s="23" t="s">
        <v>23</v>
      </c>
      <c r="D71" s="74">
        <v>1.43</v>
      </c>
      <c r="E71" s="23">
        <v>7.78</v>
      </c>
    </row>
    <row r="72" spans="2:11" x14ac:dyDescent="0.3">
      <c r="C72" s="23" t="s">
        <v>24</v>
      </c>
      <c r="D72" s="74">
        <v>0.86</v>
      </c>
      <c r="E72" s="23">
        <v>6.38</v>
      </c>
    </row>
    <row r="73" spans="2:11" x14ac:dyDescent="0.3">
      <c r="B73" s="18" t="s">
        <v>239</v>
      </c>
      <c r="C73" s="23" t="s">
        <v>187</v>
      </c>
      <c r="D73" s="75">
        <f>AVERAGE(D70:D72)</f>
        <v>1.7466666666666668</v>
      </c>
      <c r="E73" s="76">
        <f>AVERAGE(E70:E72)</f>
        <v>9.1733333333333338</v>
      </c>
      <c r="F73" s="5"/>
    </row>
    <row r="74" spans="2:11" ht="15" customHeight="1" x14ac:dyDescent="0.3">
      <c r="C74" s="23" t="s">
        <v>188</v>
      </c>
      <c r="D74" s="77">
        <v>3049.2</v>
      </c>
      <c r="E74" s="62">
        <f>F39</f>
        <v>603.17154184078004</v>
      </c>
      <c r="F74" t="s">
        <v>43</v>
      </c>
      <c r="G74" s="12"/>
    </row>
    <row r="75" spans="2:11" x14ac:dyDescent="0.3">
      <c r="B75" s="18" t="s">
        <v>240</v>
      </c>
      <c r="C75" s="24" t="s">
        <v>189</v>
      </c>
      <c r="D75" s="78">
        <f>D73*D74</f>
        <v>5325.9359999999997</v>
      </c>
      <c r="E75" s="79">
        <f>E73*E74</f>
        <v>5533.0936104860893</v>
      </c>
    </row>
    <row r="77" spans="2:11" x14ac:dyDescent="0.3">
      <c r="C77" s="20" t="s">
        <v>190</v>
      </c>
      <c r="D77" s="20"/>
      <c r="E77" s="20" t="s">
        <v>41</v>
      </c>
      <c r="F77" s="20"/>
      <c r="G77" s="20"/>
      <c r="H77" s="20"/>
      <c r="I77" s="20"/>
      <c r="J77" s="20"/>
      <c r="K77" s="20"/>
    </row>
    <row r="78" spans="2:11" x14ac:dyDescent="0.3">
      <c r="C78" s="21" t="s">
        <v>191</v>
      </c>
      <c r="D78" s="80">
        <f>D66</f>
        <v>6651.1676315904579</v>
      </c>
      <c r="E78" s="81">
        <v>0.2</v>
      </c>
    </row>
    <row r="79" spans="2:11" x14ac:dyDescent="0.3">
      <c r="C79" s="23" t="s">
        <v>192</v>
      </c>
      <c r="D79" s="82">
        <f>D75</f>
        <v>5325.9359999999997</v>
      </c>
      <c r="E79" s="83">
        <v>0.6</v>
      </c>
    </row>
    <row r="80" spans="2:11" x14ac:dyDescent="0.3">
      <c r="C80" s="23" t="s">
        <v>193</v>
      </c>
      <c r="D80" s="84">
        <f>E75</f>
        <v>5533.0936104860893</v>
      </c>
      <c r="E80" s="83">
        <v>0.2</v>
      </c>
    </row>
    <row r="81" spans="2:12" x14ac:dyDescent="0.3">
      <c r="B81" s="18" t="s">
        <v>241</v>
      </c>
      <c r="C81" s="29" t="s">
        <v>194</v>
      </c>
      <c r="D81" s="85">
        <f>SUMPRODUCT(D78:D80,E78:E80)</f>
        <v>5632.4138484153091</v>
      </c>
      <c r="E81" s="86">
        <f>SUM(E78:E80)</f>
        <v>1</v>
      </c>
    </row>
    <row r="82" spans="2:12" x14ac:dyDescent="0.3">
      <c r="C82" s="23" t="s">
        <v>195</v>
      </c>
      <c r="D82" s="87">
        <v>4200</v>
      </c>
      <c r="E82" s="23"/>
    </row>
    <row r="83" spans="2:12" x14ac:dyDescent="0.3">
      <c r="B83" s="18" t="s">
        <v>242</v>
      </c>
      <c r="C83" s="31" t="s">
        <v>196</v>
      </c>
      <c r="D83" s="88">
        <f>D81/D82-1</f>
        <v>0.34105091628935935</v>
      </c>
      <c r="E83" s="31"/>
    </row>
    <row r="84" spans="2:12" x14ac:dyDescent="0.3">
      <c r="C84" s="20" t="s">
        <v>202</v>
      </c>
      <c r="D84" s="102"/>
    </row>
    <row r="85" spans="2:12" x14ac:dyDescent="0.3">
      <c r="C85" t="s">
        <v>2</v>
      </c>
      <c r="D85" s="103" t="s">
        <v>111</v>
      </c>
      <c r="E85" s="103" t="s">
        <v>112</v>
      </c>
      <c r="F85" s="103" t="s">
        <v>113</v>
      </c>
      <c r="G85" s="103" t="s">
        <v>114</v>
      </c>
      <c r="H85" s="103" t="s">
        <v>115</v>
      </c>
      <c r="I85" s="103" t="s">
        <v>116</v>
      </c>
      <c r="J85" s="112" t="s">
        <v>117</v>
      </c>
      <c r="K85" s="112" t="s">
        <v>118</v>
      </c>
      <c r="L85" s="112" t="s">
        <v>119</v>
      </c>
    </row>
    <row r="86" spans="2:12" x14ac:dyDescent="0.3">
      <c r="C86" t="s">
        <v>3</v>
      </c>
      <c r="D86" s="105">
        <v>40055</v>
      </c>
      <c r="E86" s="105">
        <v>41583</v>
      </c>
      <c r="F86" s="105">
        <v>40960</v>
      </c>
      <c r="G86" s="105">
        <v>42365</v>
      </c>
      <c r="H86" s="105">
        <v>37662</v>
      </c>
      <c r="I86" s="105">
        <v>35725</v>
      </c>
      <c r="J86" s="113">
        <f>D86+E86</f>
        <v>81638</v>
      </c>
      <c r="K86" s="113">
        <f>H86+I86</f>
        <v>73387</v>
      </c>
      <c r="L86" s="113">
        <f>SUM(D86:G86)</f>
        <v>164963</v>
      </c>
    </row>
    <row r="87" spans="2:12" x14ac:dyDescent="0.3">
      <c r="C87" t="s">
        <v>4</v>
      </c>
      <c r="D87" s="105">
        <v>-14121</v>
      </c>
      <c r="E87" s="105">
        <v>-15071</v>
      </c>
      <c r="F87" s="105">
        <v>-14846</v>
      </c>
      <c r="G87" s="105">
        <v>-14164</v>
      </c>
      <c r="H87" s="105">
        <v>-12325</v>
      </c>
      <c r="I87" s="105">
        <v>-12731</v>
      </c>
      <c r="J87" s="113">
        <f t="shared" ref="J87:J96" si="21">D87+E87</f>
        <v>-29192</v>
      </c>
      <c r="K87" s="113">
        <f t="shared" ref="K87:K96" si="22">H87+I87</f>
        <v>-25056</v>
      </c>
      <c r="L87" s="113">
        <f t="shared" ref="L87:L96" si="23">SUM(D87:G87)</f>
        <v>-58202</v>
      </c>
    </row>
    <row r="88" spans="2:12" x14ac:dyDescent="0.3">
      <c r="B88" s="18" t="s">
        <v>214</v>
      </c>
      <c r="C88" s="1" t="s">
        <v>5</v>
      </c>
      <c r="D88" s="11">
        <f>D86+D87</f>
        <v>25934</v>
      </c>
      <c r="E88" s="11">
        <f t="shared" ref="E88:I88" si="24">E86+E87</f>
        <v>26512</v>
      </c>
      <c r="F88" s="11">
        <f t="shared" si="24"/>
        <v>26114</v>
      </c>
      <c r="G88" s="11">
        <f t="shared" si="24"/>
        <v>28201</v>
      </c>
      <c r="H88" s="11">
        <f t="shared" si="24"/>
        <v>25337</v>
      </c>
      <c r="I88" s="11">
        <f t="shared" si="24"/>
        <v>22994</v>
      </c>
      <c r="J88" s="114">
        <f t="shared" si="21"/>
        <v>52446</v>
      </c>
      <c r="K88" s="114">
        <f t="shared" si="22"/>
        <v>48331</v>
      </c>
      <c r="L88" s="114">
        <f t="shared" si="23"/>
        <v>106761</v>
      </c>
    </row>
    <row r="89" spans="2:12" x14ac:dyDescent="0.3">
      <c r="C89" t="s">
        <v>6</v>
      </c>
      <c r="D89" s="105">
        <v>-7819</v>
      </c>
      <c r="E89" s="105">
        <v>-11182</v>
      </c>
      <c r="F89" s="105">
        <v>-8123</v>
      </c>
      <c r="G89" s="105">
        <v>-3325</v>
      </c>
      <c r="H89" s="105">
        <v>-5415</v>
      </c>
      <c r="I89" s="105">
        <v>-3853</v>
      </c>
      <c r="J89" s="113">
        <f t="shared" si="21"/>
        <v>-19001</v>
      </c>
      <c r="K89" s="113">
        <f t="shared" si="22"/>
        <v>-9268</v>
      </c>
      <c r="L89" s="113">
        <f t="shared" si="23"/>
        <v>-30449</v>
      </c>
    </row>
    <row r="90" spans="2:12" x14ac:dyDescent="0.3">
      <c r="B90" s="18" t="s">
        <v>216</v>
      </c>
      <c r="C90" s="1" t="s">
        <v>7</v>
      </c>
      <c r="D90" s="11">
        <f>D88+D89</f>
        <v>18115</v>
      </c>
      <c r="E90" s="11">
        <f t="shared" ref="E90:I90" si="25">E88+E89</f>
        <v>15330</v>
      </c>
      <c r="F90" s="11">
        <f t="shared" si="25"/>
        <v>17991</v>
      </c>
      <c r="G90" s="11">
        <f t="shared" si="25"/>
        <v>24876</v>
      </c>
      <c r="H90" s="11">
        <f t="shared" si="25"/>
        <v>19922</v>
      </c>
      <c r="I90" s="11">
        <f t="shared" si="25"/>
        <v>19141</v>
      </c>
      <c r="J90" s="114">
        <f t="shared" si="21"/>
        <v>33445</v>
      </c>
      <c r="K90" s="114">
        <f t="shared" si="22"/>
        <v>39063</v>
      </c>
      <c r="L90" s="114">
        <f t="shared" si="23"/>
        <v>76312</v>
      </c>
    </row>
    <row r="91" spans="2:12" x14ac:dyDescent="0.3">
      <c r="C91" t="s">
        <v>34</v>
      </c>
      <c r="D91" s="105">
        <v>65</v>
      </c>
      <c r="E91" s="105">
        <v>16</v>
      </c>
      <c r="F91" s="105">
        <v>33</v>
      </c>
      <c r="G91" s="105">
        <v>-7</v>
      </c>
      <c r="H91" s="105">
        <v>22</v>
      </c>
      <c r="I91" s="105">
        <v>-44</v>
      </c>
      <c r="J91" s="113">
        <f t="shared" si="21"/>
        <v>81</v>
      </c>
      <c r="K91" s="113">
        <f t="shared" si="22"/>
        <v>-22</v>
      </c>
      <c r="L91" s="113">
        <f t="shared" si="23"/>
        <v>107</v>
      </c>
    </row>
    <row r="92" spans="2:12" x14ac:dyDescent="0.3">
      <c r="B92" s="18" t="s">
        <v>217</v>
      </c>
      <c r="C92" s="1" t="s">
        <v>9</v>
      </c>
      <c r="D92" s="11">
        <f>D90+D91</f>
        <v>18180</v>
      </c>
      <c r="E92" s="11">
        <f t="shared" ref="E92:I92" si="26">E90+E91</f>
        <v>15346</v>
      </c>
      <c r="F92" s="11">
        <f t="shared" si="26"/>
        <v>18024</v>
      </c>
      <c r="G92" s="11">
        <f t="shared" si="26"/>
        <v>24869</v>
      </c>
      <c r="H92" s="11">
        <f t="shared" si="26"/>
        <v>19944</v>
      </c>
      <c r="I92" s="11">
        <f t="shared" si="26"/>
        <v>19097</v>
      </c>
      <c r="J92" s="114">
        <f t="shared" si="21"/>
        <v>33526</v>
      </c>
      <c r="K92" s="114">
        <f t="shared" si="22"/>
        <v>39041</v>
      </c>
      <c r="L92" s="114">
        <f t="shared" si="23"/>
        <v>76419</v>
      </c>
    </row>
    <row r="93" spans="2:12" x14ac:dyDescent="0.3">
      <c r="C93" t="s">
        <v>10</v>
      </c>
      <c r="D93" s="105">
        <v>-3649</v>
      </c>
      <c r="E93" s="105">
        <v>-3025</v>
      </c>
      <c r="F93" s="105">
        <v>-3501</v>
      </c>
      <c r="G93" s="105">
        <v>-4897</v>
      </c>
      <c r="H93" s="105">
        <v>-3731</v>
      </c>
      <c r="I93" s="105">
        <v>-3684</v>
      </c>
      <c r="J93" s="113">
        <f t="shared" si="21"/>
        <v>-6674</v>
      </c>
      <c r="K93" s="113">
        <f t="shared" si="22"/>
        <v>-7415</v>
      </c>
      <c r="L93" s="113">
        <f t="shared" si="23"/>
        <v>-15072</v>
      </c>
    </row>
    <row r="94" spans="2:12" x14ac:dyDescent="0.3">
      <c r="B94" s="18" t="s">
        <v>219</v>
      </c>
      <c r="C94" s="1" t="s">
        <v>11</v>
      </c>
      <c r="D94" s="11">
        <f>D92+D93</f>
        <v>14531</v>
      </c>
      <c r="E94" s="11">
        <f t="shared" ref="E94:I94" si="27">E92+E93</f>
        <v>12321</v>
      </c>
      <c r="F94" s="11">
        <f t="shared" si="27"/>
        <v>14523</v>
      </c>
      <c r="G94" s="11">
        <f t="shared" si="27"/>
        <v>19972</v>
      </c>
      <c r="H94" s="11">
        <f t="shared" si="27"/>
        <v>16213</v>
      </c>
      <c r="I94" s="11">
        <f t="shared" si="27"/>
        <v>15413</v>
      </c>
      <c r="J94" s="114">
        <f t="shared" si="21"/>
        <v>26852</v>
      </c>
      <c r="K94" s="114">
        <f t="shared" si="22"/>
        <v>31626</v>
      </c>
      <c r="L94" s="114">
        <f t="shared" si="23"/>
        <v>61347</v>
      </c>
    </row>
    <row r="95" spans="2:12" x14ac:dyDescent="0.3">
      <c r="C95" t="s">
        <v>47</v>
      </c>
      <c r="D95" s="105">
        <v>683</v>
      </c>
      <c r="E95" s="105">
        <v>1478</v>
      </c>
      <c r="F95" s="105">
        <v>1648</v>
      </c>
      <c r="G95" s="105">
        <v>3318</v>
      </c>
      <c r="H95" s="105">
        <v>-2881</v>
      </c>
      <c r="I95" s="105">
        <v>-774</v>
      </c>
      <c r="J95" s="113">
        <f t="shared" si="21"/>
        <v>2161</v>
      </c>
      <c r="K95" s="113">
        <f t="shared" si="22"/>
        <v>-3655</v>
      </c>
      <c r="L95" s="113">
        <f t="shared" si="23"/>
        <v>7127</v>
      </c>
    </row>
    <row r="96" spans="2:12" x14ac:dyDescent="0.3">
      <c r="B96" s="18" t="s">
        <v>220</v>
      </c>
      <c r="C96" s="1" t="s">
        <v>48</v>
      </c>
      <c r="D96" s="11">
        <f>D94+D95</f>
        <v>15214</v>
      </c>
      <c r="E96" s="11">
        <f t="shared" ref="E96:I96" si="28">E94+E95</f>
        <v>13799</v>
      </c>
      <c r="F96" s="11">
        <f t="shared" si="28"/>
        <v>16171</v>
      </c>
      <c r="G96" s="11">
        <f t="shared" si="28"/>
        <v>23290</v>
      </c>
      <c r="H96" s="11">
        <f t="shared" si="28"/>
        <v>13332</v>
      </c>
      <c r="I96" s="11">
        <f t="shared" si="28"/>
        <v>14639</v>
      </c>
      <c r="J96" s="114">
        <f t="shared" si="21"/>
        <v>29013</v>
      </c>
      <c r="K96" s="114">
        <f t="shared" si="22"/>
        <v>27971</v>
      </c>
      <c r="L96" s="114">
        <f t="shared" si="23"/>
        <v>68474</v>
      </c>
    </row>
    <row r="98" spans="2:13" x14ac:dyDescent="0.3">
      <c r="C98" s="20" t="s">
        <v>120</v>
      </c>
    </row>
    <row r="99" spans="2:13" x14ac:dyDescent="0.3">
      <c r="B99" s="19" t="s">
        <v>243</v>
      </c>
      <c r="C99" t="s">
        <v>121</v>
      </c>
      <c r="D99" s="4">
        <f>D87/D86</f>
        <v>-0.35254025714642367</v>
      </c>
      <c r="E99" s="4">
        <f t="shared" ref="E99:L99" si="29">E87/E86</f>
        <v>-0.36243176298006397</v>
      </c>
      <c r="F99" s="4">
        <f t="shared" si="29"/>
        <v>-0.36245117187499998</v>
      </c>
      <c r="G99" s="4">
        <f t="shared" si="29"/>
        <v>-0.33433258586097014</v>
      </c>
      <c r="H99" s="4">
        <f t="shared" si="29"/>
        <v>-0.32725293399182198</v>
      </c>
      <c r="I99" s="4">
        <f t="shared" si="29"/>
        <v>-0.35636109167249824</v>
      </c>
      <c r="J99" s="4">
        <f t="shared" si="29"/>
        <v>-0.35757857860310149</v>
      </c>
      <c r="K99" s="4">
        <f t="shared" si="29"/>
        <v>-0.34142286781037512</v>
      </c>
      <c r="L99" s="4">
        <f t="shared" si="29"/>
        <v>-0.35281851081757726</v>
      </c>
      <c r="M99" s="132" t="s">
        <v>256</v>
      </c>
    </row>
    <row r="100" spans="2:13" x14ac:dyDescent="0.3">
      <c r="B100" s="19" t="s">
        <v>244</v>
      </c>
      <c r="C100" t="s">
        <v>122</v>
      </c>
      <c r="D100" s="4">
        <f>D89/D86</f>
        <v>-0.19520659093746098</v>
      </c>
      <c r="E100" s="4">
        <f t="shared" ref="E100:L100" si="30">E89/E86</f>
        <v>-0.26890796719813387</v>
      </c>
      <c r="F100" s="4">
        <f t="shared" si="30"/>
        <v>-0.19831542968749999</v>
      </c>
      <c r="G100" s="4">
        <f t="shared" si="30"/>
        <v>-7.8484598135253159E-2</v>
      </c>
      <c r="H100" s="4">
        <f t="shared" si="30"/>
        <v>-0.14377887525888164</v>
      </c>
      <c r="I100" s="4">
        <f t="shared" si="30"/>
        <v>-0.10785164450664801</v>
      </c>
      <c r="J100" s="4">
        <f t="shared" si="30"/>
        <v>-0.23274700507116783</v>
      </c>
      <c r="K100" s="4">
        <f t="shared" si="30"/>
        <v>-0.12628939730469974</v>
      </c>
      <c r="L100" s="4">
        <f t="shared" si="30"/>
        <v>-0.18458078478204204</v>
      </c>
      <c r="M100" s="132" t="s">
        <v>257</v>
      </c>
    </row>
    <row r="101" spans="2:13" x14ac:dyDescent="0.3">
      <c r="B101" s="19" t="s">
        <v>245</v>
      </c>
      <c r="C101" t="s">
        <v>197</v>
      </c>
      <c r="D101" s="4">
        <f>-D89/D88</f>
        <v>0.30149610549857331</v>
      </c>
      <c r="E101" s="4">
        <f t="shared" ref="E101:L101" si="31">-E89/E88</f>
        <v>0.42177127338563669</v>
      </c>
      <c r="F101" s="4">
        <f t="shared" si="31"/>
        <v>0.31105920196063414</v>
      </c>
      <c r="G101" s="4">
        <f t="shared" si="31"/>
        <v>0.11790362043899152</v>
      </c>
      <c r="H101" s="4">
        <f t="shared" si="31"/>
        <v>0.21371906697714804</v>
      </c>
      <c r="I101" s="4">
        <f t="shared" si="31"/>
        <v>0.16756545185700616</v>
      </c>
      <c r="J101" s="4">
        <f t="shared" si="31"/>
        <v>0.36229645730846965</v>
      </c>
      <c r="K101" s="4">
        <f t="shared" si="31"/>
        <v>0.19176098156462726</v>
      </c>
      <c r="L101" s="4">
        <f t="shared" si="31"/>
        <v>0.28520714493120147</v>
      </c>
      <c r="M101" s="132" t="s">
        <v>258</v>
      </c>
    </row>
    <row r="102" spans="2:13" x14ac:dyDescent="0.3">
      <c r="B102" s="19" t="s">
        <v>246</v>
      </c>
      <c r="C102" t="s">
        <v>86</v>
      </c>
      <c r="D102" s="4">
        <f>-D93/D92</f>
        <v>0.20071507150715071</v>
      </c>
      <c r="E102" s="4">
        <f t="shared" ref="E102:L102" si="32">-E93/E92</f>
        <v>0.19711977062426692</v>
      </c>
      <c r="F102" s="4">
        <f t="shared" si="32"/>
        <v>0.1942410119840213</v>
      </c>
      <c r="G102" s="4">
        <f t="shared" si="32"/>
        <v>0.19691181792593188</v>
      </c>
      <c r="H102" s="4">
        <f t="shared" si="32"/>
        <v>0.1870738066586442</v>
      </c>
      <c r="I102" s="4">
        <f t="shared" si="32"/>
        <v>0.19290988113316226</v>
      </c>
      <c r="J102" s="4">
        <f t="shared" si="32"/>
        <v>0.19906937898944102</v>
      </c>
      <c r="K102" s="4">
        <f t="shared" si="32"/>
        <v>0.1899285366665813</v>
      </c>
      <c r="L102" s="4">
        <f t="shared" si="32"/>
        <v>0.19722843795391198</v>
      </c>
      <c r="M102" s="132" t="s">
        <v>259</v>
      </c>
    </row>
    <row r="104" spans="2:13" x14ac:dyDescent="0.3">
      <c r="C104" s="20" t="s">
        <v>123</v>
      </c>
    </row>
    <row r="105" spans="2:13" x14ac:dyDescent="0.3">
      <c r="C105" t="s">
        <v>124</v>
      </c>
      <c r="D105" s="170">
        <v>0</v>
      </c>
      <c r="E105" s="16" t="s">
        <v>252</v>
      </c>
    </row>
    <row r="106" spans="2:13" x14ac:dyDescent="0.3">
      <c r="C106" t="s">
        <v>125</v>
      </c>
      <c r="D106" s="4">
        <f>K99</f>
        <v>-0.34142286781037512</v>
      </c>
      <c r="E106" s="16" t="str">
        <f>"Mengikuti realisasi H1 2026 (K99) = "&amp;TEXT(K99,"0.0%")&amp;", bukan rata-rata 3 tahun."</f>
        <v>Mengikuti realisasi H1 2026 (K99) = -34.1%, bukan rata-rata 3 tahun.</v>
      </c>
    </row>
    <row r="107" spans="2:13" x14ac:dyDescent="0.3">
      <c r="C107" t="s">
        <v>126</v>
      </c>
      <c r="D107" s="104">
        <v>0</v>
      </c>
      <c r="E107" s="16" t="s">
        <v>253</v>
      </c>
    </row>
    <row r="108" spans="2:13" x14ac:dyDescent="0.3">
      <c r="C108" s="12"/>
      <c r="D108" s="130"/>
      <c r="E108" s="16"/>
    </row>
    <row r="109" spans="2:13" x14ac:dyDescent="0.3">
      <c r="C109" t="s">
        <v>127</v>
      </c>
      <c r="D109" s="105">
        <f>K91</f>
        <v>-22</v>
      </c>
      <c r="E109" s="16" t="s">
        <v>254</v>
      </c>
    </row>
    <row r="111" spans="2:13" x14ac:dyDescent="0.3">
      <c r="C111" s="20" t="s">
        <v>198</v>
      </c>
    </row>
    <row r="112" spans="2:13" x14ac:dyDescent="0.3">
      <c r="C112" t="s">
        <v>2</v>
      </c>
      <c r="D112" s="103" t="s">
        <v>128</v>
      </c>
      <c r="E112" s="34" t="s">
        <v>129</v>
      </c>
      <c r="F112" s="112" t="s">
        <v>130</v>
      </c>
    </row>
    <row r="113" spans="2:10" x14ac:dyDescent="0.3">
      <c r="B113" s="18" t="s">
        <v>247</v>
      </c>
      <c r="C113" t="s">
        <v>3</v>
      </c>
      <c r="D113" s="105">
        <f>K86</f>
        <v>73387</v>
      </c>
      <c r="E113" s="105">
        <f>D113*(1+$D$105)</f>
        <v>73387</v>
      </c>
      <c r="F113" s="114">
        <f t="shared" ref="F113:F122" si="33">D113+E113</f>
        <v>146774</v>
      </c>
    </row>
    <row r="114" spans="2:10" x14ac:dyDescent="0.3">
      <c r="B114" s="18" t="s">
        <v>248</v>
      </c>
      <c r="C114" t="s">
        <v>4</v>
      </c>
      <c r="D114" s="105">
        <f>K87</f>
        <v>-25056</v>
      </c>
      <c r="E114" s="105">
        <f>$D$106*E113</f>
        <v>-25056</v>
      </c>
      <c r="F114" s="114">
        <f t="shared" si="33"/>
        <v>-50112</v>
      </c>
    </row>
    <row r="115" spans="2:10" x14ac:dyDescent="0.3">
      <c r="B115" s="18" t="s">
        <v>214</v>
      </c>
      <c r="C115" t="s">
        <v>5</v>
      </c>
      <c r="D115" s="11">
        <f>D113+D114</f>
        <v>48331</v>
      </c>
      <c r="E115" s="11">
        <f>E113+E114</f>
        <v>48331</v>
      </c>
      <c r="F115" s="114">
        <f t="shared" si="33"/>
        <v>96662</v>
      </c>
    </row>
    <row r="116" spans="2:10" x14ac:dyDescent="0.3">
      <c r="B116" s="18" t="s">
        <v>249</v>
      </c>
      <c r="C116" t="s">
        <v>6</v>
      </c>
      <c r="D116" s="105">
        <f>K89</f>
        <v>-9268</v>
      </c>
      <c r="E116" s="105">
        <f>D116*(1+$D$107)</f>
        <v>-9268</v>
      </c>
      <c r="F116" s="114">
        <f t="shared" si="33"/>
        <v>-18536</v>
      </c>
    </row>
    <row r="117" spans="2:10" x14ac:dyDescent="0.3">
      <c r="B117" s="18" t="s">
        <v>216</v>
      </c>
      <c r="C117" t="s">
        <v>7</v>
      </c>
      <c r="D117" s="11">
        <f>D115+D116</f>
        <v>39063</v>
      </c>
      <c r="E117" s="11">
        <f>E115+E116</f>
        <v>39063</v>
      </c>
      <c r="F117" s="114">
        <f t="shared" si="33"/>
        <v>78126</v>
      </c>
    </row>
    <row r="118" spans="2:10" x14ac:dyDescent="0.3">
      <c r="C118" t="s">
        <v>34</v>
      </c>
      <c r="D118" s="105">
        <f>K91</f>
        <v>-22</v>
      </c>
      <c r="E118" s="105">
        <f>$D$109</f>
        <v>-22</v>
      </c>
      <c r="F118" s="114">
        <f t="shared" si="33"/>
        <v>-44</v>
      </c>
    </row>
    <row r="119" spans="2:10" x14ac:dyDescent="0.3">
      <c r="B119" s="18" t="s">
        <v>217</v>
      </c>
      <c r="C119" t="s">
        <v>9</v>
      </c>
      <c r="D119" s="11">
        <f>D117+D118</f>
        <v>39041</v>
      </c>
      <c r="E119" s="11">
        <f>E117+E118</f>
        <v>39041</v>
      </c>
      <c r="F119" s="114">
        <f t="shared" si="33"/>
        <v>78082</v>
      </c>
    </row>
    <row r="120" spans="2:10" x14ac:dyDescent="0.3">
      <c r="B120" s="18" t="s">
        <v>250</v>
      </c>
      <c r="C120" t="s">
        <v>10</v>
      </c>
      <c r="D120" s="105">
        <f>K93</f>
        <v>-7415</v>
      </c>
      <c r="E120" s="105">
        <f>-$D$16*E119</f>
        <v>-7417.79</v>
      </c>
      <c r="F120" s="114">
        <f t="shared" si="33"/>
        <v>-14832.79</v>
      </c>
    </row>
    <row r="121" spans="2:10" x14ac:dyDescent="0.3">
      <c r="B121" s="18" t="s">
        <v>219</v>
      </c>
      <c r="C121" t="s">
        <v>11</v>
      </c>
      <c r="D121" s="11">
        <f>D119+D120</f>
        <v>31626</v>
      </c>
      <c r="E121" s="11">
        <f>E119+E120</f>
        <v>31623.21</v>
      </c>
      <c r="F121" s="114">
        <f t="shared" si="33"/>
        <v>63249.21</v>
      </c>
    </row>
    <row r="122" spans="2:10" x14ac:dyDescent="0.3">
      <c r="C122" t="s">
        <v>47</v>
      </c>
      <c r="D122" s="105">
        <f>K95</f>
        <v>-3655</v>
      </c>
      <c r="E122" s="111">
        <v>0</v>
      </c>
      <c r="F122" s="114">
        <f t="shared" si="33"/>
        <v>-3655</v>
      </c>
      <c r="G122" s="16" t="s">
        <v>255</v>
      </c>
    </row>
    <row r="123" spans="2:10" x14ac:dyDescent="0.3">
      <c r="B123" s="18" t="s">
        <v>251</v>
      </c>
      <c r="C123" s="93" t="s">
        <v>201</v>
      </c>
      <c r="D123" s="106" t="str">
        <f>IF(ROUND(F121-G31,0)=0,"OK - build-up = laporan laba rugi","BEDA "&amp;TEXT(F121-G31,"#,##0"))</f>
        <v>OK - build-up = laporan laba rugi</v>
      </c>
    </row>
    <row r="126" spans="2:10" x14ac:dyDescent="0.3">
      <c r="C126" s="20" t="s">
        <v>199</v>
      </c>
      <c r="D126" s="16"/>
    </row>
    <row r="127" spans="2:10" x14ac:dyDescent="0.3">
      <c r="B127" s="103" t="s">
        <v>200</v>
      </c>
      <c r="C127" s="123" t="s">
        <v>131</v>
      </c>
      <c r="D127" s="124">
        <f>$D$53-0.015</f>
        <v>3.5000000000000003E-2</v>
      </c>
      <c r="E127" s="124">
        <f>$D$53-0.01</f>
        <v>0.04</v>
      </c>
      <c r="F127" s="124">
        <f>$D$53-0.005</f>
        <v>4.5000000000000005E-2</v>
      </c>
      <c r="G127" s="125">
        <f>$D$53</f>
        <v>0.05</v>
      </c>
      <c r="H127" s="124">
        <f>$D$53+0.005</f>
        <v>5.5E-2</v>
      </c>
      <c r="I127" s="124">
        <f>$D$53+0.01</f>
        <v>6.0000000000000005E-2</v>
      </c>
      <c r="J127" s="124">
        <f>$D$53+0.015</f>
        <v>6.5000000000000002E-2</v>
      </c>
    </row>
    <row r="128" spans="2:10" x14ac:dyDescent="0.3">
      <c r="B128" s="133">
        <f>($C128-$D$6)/$D$8</f>
        <v>0.53578475336322873</v>
      </c>
      <c r="C128" s="126">
        <f>$D$9-0.015</f>
        <v>0.10584400000000001</v>
      </c>
      <c r="D128" s="127">
        <f t="shared" ref="D128:J134" si="34">IF($C128&lt;=D$127,"n/a",(NPV($C128,$D$59:$H$59)+$H$59*(1+D$127)/($C128-D$127)/(1+$C128)^5)*$E$78+$D$79*$E$79+$D$80*$E$80)</f>
        <v>5699.4793686018702</v>
      </c>
      <c r="E128" s="127">
        <f t="shared" si="34"/>
        <v>5782.0420158783436</v>
      </c>
      <c r="F128" s="127">
        <f t="shared" si="34"/>
        <v>5878.1742258522854</v>
      </c>
      <c r="G128" s="127">
        <f t="shared" si="34"/>
        <v>5991.5208563501756</v>
      </c>
      <c r="H128" s="127">
        <f t="shared" si="34"/>
        <v>6127.1605067713399</v>
      </c>
      <c r="I128" s="127">
        <f t="shared" si="34"/>
        <v>6292.3873769859701</v>
      </c>
      <c r="J128" s="127">
        <f t="shared" si="34"/>
        <v>6498.0674031634417</v>
      </c>
    </row>
    <row r="129" spans="2:10" x14ac:dyDescent="0.3">
      <c r="B129" s="133">
        <f t="shared" ref="B129:B134" si="35">($C129-$D$6)/$D$8</f>
        <v>0.61052316890881919</v>
      </c>
      <c r="C129" s="126">
        <f>$D$9-0.01</f>
        <v>0.11084400000000001</v>
      </c>
      <c r="D129" s="127">
        <f t="shared" si="34"/>
        <v>5606.2408453351909</v>
      </c>
      <c r="E129" s="127">
        <f t="shared" si="34"/>
        <v>5676.635835983765</v>
      </c>
      <c r="F129" s="127">
        <f t="shared" si="34"/>
        <v>5757.7220043628195</v>
      </c>
      <c r="G129" s="127">
        <f t="shared" si="34"/>
        <v>5852.1350691292018</v>
      </c>
      <c r="H129" s="127">
        <f t="shared" si="34"/>
        <v>5963.4547066279056</v>
      </c>
      <c r="I129" s="127">
        <f t="shared" si="34"/>
        <v>6096.6686949838813</v>
      </c>
      <c r="J129" s="127">
        <f t="shared" si="34"/>
        <v>6258.9407909124875</v>
      </c>
    </row>
    <row r="130" spans="2:10" x14ac:dyDescent="0.3">
      <c r="B130" s="133">
        <f t="shared" si="35"/>
        <v>0.68526158445440954</v>
      </c>
      <c r="C130" s="126">
        <f>$D$9-0.005</f>
        <v>0.115844</v>
      </c>
      <c r="D130" s="127">
        <f t="shared" si="34"/>
        <v>5524.5540234576792</v>
      </c>
      <c r="E130" s="127">
        <f t="shared" si="34"/>
        <v>5585.1432489408708</v>
      </c>
      <c r="F130" s="127">
        <f t="shared" si="34"/>
        <v>5654.2849595298148</v>
      </c>
      <c r="G130" s="127">
        <f t="shared" si="34"/>
        <v>5733.927507034643</v>
      </c>
      <c r="H130" s="127">
        <f t="shared" si="34"/>
        <v>5826.6596849886237</v>
      </c>
      <c r="I130" s="127">
        <f t="shared" si="34"/>
        <v>5935.9974388243436</v>
      </c>
      <c r="J130" s="127">
        <f t="shared" si="34"/>
        <v>6066.8397465574208</v>
      </c>
    </row>
    <row r="131" spans="2:10" x14ac:dyDescent="0.3">
      <c r="B131" s="133">
        <f t="shared" si="35"/>
        <v>0.76</v>
      </c>
      <c r="C131" s="128">
        <f>$D$9</f>
        <v>0.12084400000000001</v>
      </c>
      <c r="D131" s="127">
        <f t="shared" si="34"/>
        <v>5452.4000055736951</v>
      </c>
      <c r="E131" s="127">
        <f t="shared" si="34"/>
        <v>5504.9823480368395</v>
      </c>
      <c r="F131" s="127">
        <f t="shared" si="34"/>
        <v>5564.4976505842542</v>
      </c>
      <c r="G131" s="129">
        <f t="shared" si="34"/>
        <v>5632.4138484153091</v>
      </c>
      <c r="H131" s="127">
        <f t="shared" si="34"/>
        <v>5710.6447594823539</v>
      </c>
      <c r="I131" s="127">
        <f t="shared" si="34"/>
        <v>5801.7332918542188</v>
      </c>
      <c r="J131" s="127">
        <f t="shared" si="34"/>
        <v>5909.1330720542946</v>
      </c>
    </row>
    <row r="132" spans="2:10" x14ac:dyDescent="0.3">
      <c r="B132" s="133">
        <f t="shared" si="35"/>
        <v>0.83473841554559047</v>
      </c>
      <c r="C132" s="126">
        <f>$D$9+0.005</f>
        <v>0.12584400000000001</v>
      </c>
      <c r="D132" s="127">
        <f t="shared" si="34"/>
        <v>5388.2043807046921</v>
      </c>
      <c r="E132" s="127">
        <f t="shared" si="34"/>
        <v>5434.1727702358303</v>
      </c>
      <c r="F132" s="127">
        <f t="shared" si="34"/>
        <v>5485.8272205174426</v>
      </c>
      <c r="G132" s="127">
        <f t="shared" si="34"/>
        <v>5544.2922886833449</v>
      </c>
      <c r="H132" s="127">
        <f t="shared" si="34"/>
        <v>5611.0100060737277</v>
      </c>
      <c r="I132" s="127">
        <f t="shared" si="34"/>
        <v>5687.8604185297781</v>
      </c>
      <c r="J132" s="127">
        <f t="shared" si="34"/>
        <v>5777.3415607958423</v>
      </c>
    </row>
    <row r="133" spans="2:10" x14ac:dyDescent="0.3">
      <c r="B133" s="133">
        <f t="shared" si="35"/>
        <v>0.90947683109118094</v>
      </c>
      <c r="C133" s="126">
        <f>$D$9+0.01</f>
        <v>0.13084400000000002</v>
      </c>
      <c r="D133" s="127">
        <f t="shared" si="34"/>
        <v>5330.7212838809055</v>
      </c>
      <c r="E133" s="127">
        <f t="shared" si="34"/>
        <v>5371.1701528565281</v>
      </c>
      <c r="F133" s="127">
        <f t="shared" si="34"/>
        <v>5416.3309258645377</v>
      </c>
      <c r="G133" s="127">
        <f t="shared" si="34"/>
        <v>5467.0778614830078</v>
      </c>
      <c r="H133" s="127">
        <f t="shared" si="34"/>
        <v>5524.5157595531518</v>
      </c>
      <c r="I133" s="127">
        <f t="shared" si="34"/>
        <v>5590.0613164328124</v>
      </c>
      <c r="J133" s="127">
        <f t="shared" si="34"/>
        <v>5665.5615475241948</v>
      </c>
    </row>
    <row r="134" spans="2:10" x14ac:dyDescent="0.3">
      <c r="B134" s="133">
        <f t="shared" si="35"/>
        <v>0.98421524663677151</v>
      </c>
      <c r="C134" s="126">
        <f>$D$9+0.015</f>
        <v>0.13584400000000002</v>
      </c>
      <c r="D134" s="127">
        <f t="shared" si="34"/>
        <v>5278.9519467632235</v>
      </c>
      <c r="E134" s="127">
        <f t="shared" si="34"/>
        <v>5314.7524067497561</v>
      </c>
      <c r="F134" s="127">
        <f t="shared" si="34"/>
        <v>5354.4937389993474</v>
      </c>
      <c r="G134" s="127">
        <f t="shared" si="34"/>
        <v>5398.8645540607358</v>
      </c>
      <c r="H134" s="127">
        <f t="shared" si="34"/>
        <v>5448.7238178705029</v>
      </c>
      <c r="I134" s="127">
        <f t="shared" si="34"/>
        <v>5505.1570049714683</v>
      </c>
      <c r="J134" s="127">
        <f t="shared" si="34"/>
        <v>5569.5560306898133</v>
      </c>
    </row>
    <row r="136" spans="2:10" x14ac:dyDescent="0.3">
      <c r="C136" s="1" t="s">
        <v>157</v>
      </c>
      <c r="D136" s="120">
        <f>MIN(D128:J134)</f>
        <v>5278.9519467632235</v>
      </c>
      <c r="E136" s="121">
        <f>D136/$D$82-1</f>
        <v>0.25689332065791026</v>
      </c>
      <c r="F136" s="16"/>
    </row>
    <row r="137" spans="2:10" x14ac:dyDescent="0.3">
      <c r="C137" s="1" t="s">
        <v>158</v>
      </c>
      <c r="D137" s="120" cm="1">
        <f t="array" ref="D137">MAX(IF($D$127:$J$127&lt;$D$52,D128:J134))</f>
        <v>6127.1605067713399</v>
      </c>
      <c r="E137" s="121">
        <f>D137/$D$82-1</f>
        <v>0.45884773970746195</v>
      </c>
      <c r="F137" s="16"/>
    </row>
    <row r="138" spans="2:10" x14ac:dyDescent="0.3">
      <c r="C138" s="1" t="s">
        <v>132</v>
      </c>
      <c r="D138" s="122" t="str">
        <f>IF(MIN(D128:J134)&gt;$D$82,"BERTAHAN di semua 49 skenario","GAGAL di sebagian skenario")</f>
        <v>BERTAHAN di semua 49 skenario</v>
      </c>
      <c r="F138" s="16"/>
    </row>
    <row r="140" spans="2:10" ht="15" customHeight="1" x14ac:dyDescent="0.3"/>
    <row r="141" spans="2:10" ht="15" customHeight="1" x14ac:dyDescent="0.3"/>
    <row r="142" spans="2:10" ht="15" customHeight="1" x14ac:dyDescent="0.3"/>
    <row r="143" spans="2:10" ht="15" customHeight="1" x14ac:dyDescent="0.3"/>
    <row r="144" spans="2:10" ht="15" customHeight="1" x14ac:dyDescent="0.3"/>
    <row r="145" ht="15" customHeight="1" x14ac:dyDescent="0.3"/>
    <row r="146" ht="15" customHeight="1" x14ac:dyDescent="0.3"/>
    <row r="147" ht="15" customHeight="1" x14ac:dyDescent="0.3"/>
    <row r="148" ht="15" customHeight="1" x14ac:dyDescent="0.3"/>
    <row r="149" ht="15" customHeight="1" x14ac:dyDescent="0.3"/>
    <row r="150" ht="15" customHeight="1" x14ac:dyDescent="0.3"/>
    <row r="151" ht="15" customHeight="1" x14ac:dyDescent="0.3"/>
    <row r="152" ht="15" customHeight="1" x14ac:dyDescent="0.3"/>
    <row r="153" ht="15" customHeight="1" x14ac:dyDescent="0.3"/>
    <row r="154" ht="15" customHeight="1" x14ac:dyDescent="0.3"/>
  </sheetData>
  <conditionalFormatting sqref="D56">
    <cfRule type="containsText" dxfId="2" priority="1" operator="containsText" text="OK">
      <formula>NOT(ISERROR(SEARCH("OK",D56)))</formula>
    </cfRule>
  </conditionalFormatting>
  <conditionalFormatting sqref="D56">
    <cfRule type="containsText" dxfId="1" priority="2" operator="containsText" text="LANGGAR">
      <formula>NOT(ISERROR(SEARCH("LANGGAR",D56)))</formula>
    </cfRule>
  </conditionalFormatting>
  <conditionalFormatting sqref="D128:J134">
    <cfRule type="expression" dxfId="0" priority="7">
      <formula>D$127&gt;=$D$52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8004F-B0FF-4A13-9F33-64340D070205}">
  <dimension ref="B2:I63"/>
  <sheetViews>
    <sheetView zoomScale="86" workbookViewId="0">
      <pane ySplit="3" topLeftCell="A5" activePane="bottomLeft" state="frozen"/>
      <selection pane="bottomLeft" activeCell="I5" sqref="I5"/>
    </sheetView>
  </sheetViews>
  <sheetFormatPr defaultRowHeight="14.4" x14ac:dyDescent="0.3"/>
  <cols>
    <col min="1" max="1" width="3.6640625" customWidth="1"/>
    <col min="2" max="2" width="55.5546875" customWidth="1"/>
    <col min="3" max="3" width="17.5546875" customWidth="1"/>
    <col min="4" max="5" width="14.77734375" customWidth="1"/>
    <col min="6" max="6" width="3.6640625" customWidth="1"/>
    <col min="7" max="7" width="61.109375" customWidth="1"/>
  </cols>
  <sheetData>
    <row r="2" spans="2:9" ht="18" x14ac:dyDescent="0.35">
      <c r="B2" s="134" t="s">
        <v>75</v>
      </c>
      <c r="C2" s="135"/>
      <c r="D2" s="135"/>
      <c r="E2" s="135"/>
      <c r="F2" s="135"/>
      <c r="G2" s="135"/>
    </row>
    <row r="3" spans="2:9" x14ac:dyDescent="0.3">
      <c r="B3" s="95" t="s">
        <v>133</v>
      </c>
      <c r="C3" s="135"/>
      <c r="D3" s="135"/>
      <c r="E3" s="135"/>
      <c r="F3" s="135"/>
      <c r="G3" s="135"/>
    </row>
    <row r="4" spans="2:9" x14ac:dyDescent="0.3">
      <c r="B4" s="135"/>
      <c r="C4" s="135"/>
      <c r="D4" s="135"/>
      <c r="E4" s="135"/>
      <c r="F4" s="135"/>
      <c r="G4" s="135"/>
    </row>
    <row r="5" spans="2:9" x14ac:dyDescent="0.3">
      <c r="B5" s="136" t="s">
        <v>76</v>
      </c>
      <c r="C5" s="137"/>
      <c r="D5" s="137"/>
      <c r="E5" s="137"/>
      <c r="F5" s="137"/>
      <c r="G5" s="137"/>
      <c r="I5">
        <v>8</v>
      </c>
    </row>
    <row r="6" spans="2:9" x14ac:dyDescent="0.3">
      <c r="B6" s="135" t="s">
        <v>42</v>
      </c>
      <c r="C6" s="138">
        <f>'Financial Model DDM (4)'!D82</f>
        <v>4200</v>
      </c>
      <c r="D6" s="135"/>
      <c r="E6" s="135"/>
      <c r="F6" s="135"/>
      <c r="G6" s="95" t="s">
        <v>79</v>
      </c>
    </row>
    <row r="7" spans="2:9" x14ac:dyDescent="0.3">
      <c r="B7" s="154" t="s">
        <v>77</v>
      </c>
      <c r="C7" s="155">
        <f>'Financial Model DDM (4)'!D81</f>
        <v>5632.4138484153091</v>
      </c>
      <c r="D7" s="135"/>
      <c r="E7" s="135"/>
      <c r="F7" s="135"/>
      <c r="G7" s="95" t="str">
        <f>"Bobot: DDM 2-Stage "&amp;TEXT('Financial Model DDM (4)'!E78,"0%")&amp;" | P/BV "&amp;TEXT('Financial Model DDM (4)'!E79,"0%")&amp;" | P/E "&amp;TEXT('Financial Model DDM (4)'!E80,"0%")</f>
        <v>Bobot: DDM 2-Stage 20% | P/BV 60% | P/E 20%</v>
      </c>
    </row>
    <row r="8" spans="2:9" x14ac:dyDescent="0.3">
      <c r="B8" s="154" t="s">
        <v>27</v>
      </c>
      <c r="C8" s="156">
        <f>C7/C6-1</f>
        <v>0.34105091628935935</v>
      </c>
      <c r="D8" s="135"/>
      <c r="E8" s="135"/>
      <c r="F8" s="135"/>
      <c r="G8" s="135"/>
    </row>
    <row r="9" spans="2:9" x14ac:dyDescent="0.3">
      <c r="B9" s="139" t="s">
        <v>78</v>
      </c>
      <c r="C9" s="140" t="str">
        <f>IF(C8&gt;=0.2,"BUY",IF(C8&gt;=0.05,"ACCUMULATE",IF(C8&gt;=-0.05,"HOLD","SELL")))</f>
        <v>BUY</v>
      </c>
      <c r="D9" s="135"/>
      <c r="E9" s="135"/>
      <c r="F9" s="135"/>
      <c r="G9" s="95" t="s">
        <v>134</v>
      </c>
    </row>
    <row r="10" spans="2:9" x14ac:dyDescent="0.3">
      <c r="B10" s="135"/>
      <c r="C10" s="135"/>
      <c r="D10" s="135"/>
      <c r="E10" s="135"/>
      <c r="F10" s="135"/>
      <c r="G10" s="135"/>
    </row>
    <row r="11" spans="2:9" x14ac:dyDescent="0.3">
      <c r="B11" s="136" t="s">
        <v>80</v>
      </c>
      <c r="C11" s="141" t="s">
        <v>44</v>
      </c>
      <c r="D11" s="137"/>
      <c r="E11" s="137"/>
      <c r="F11" s="137"/>
      <c r="G11" s="136" t="s">
        <v>81</v>
      </c>
    </row>
    <row r="12" spans="2:9" x14ac:dyDescent="0.3">
      <c r="B12" s="139" t="s">
        <v>40</v>
      </c>
      <c r="C12" s="142">
        <f>'Financial Model DDM (4)'!D6</f>
        <v>7.0000000000000007E-2</v>
      </c>
      <c r="D12" s="135"/>
      <c r="E12" s="135"/>
      <c r="F12" s="135"/>
      <c r="G12" s="135" t="s">
        <v>82</v>
      </c>
    </row>
    <row r="13" spans="2:9" x14ac:dyDescent="0.3">
      <c r="B13" s="139" t="s">
        <v>17</v>
      </c>
      <c r="C13" s="143">
        <f>'Financial Model DDM (4)'!D7</f>
        <v>0.76</v>
      </c>
      <c r="D13" s="135"/>
      <c r="E13" s="135"/>
      <c r="F13" s="135"/>
      <c r="G13" s="135" t="s">
        <v>21</v>
      </c>
    </row>
    <row r="14" spans="2:9" x14ac:dyDescent="0.3">
      <c r="B14" s="139" t="s">
        <v>83</v>
      </c>
      <c r="C14" s="142">
        <f>'Financial Model DDM (4)'!D8</f>
        <v>6.6900000000000001E-2</v>
      </c>
      <c r="D14" s="135"/>
      <c r="E14" s="135"/>
      <c r="F14" s="135"/>
      <c r="G14" s="135" t="s">
        <v>21</v>
      </c>
    </row>
    <row r="15" spans="2:9" x14ac:dyDescent="0.3">
      <c r="B15" s="139" t="s">
        <v>84</v>
      </c>
      <c r="C15" s="144">
        <f>'Financial Model DDM (4)'!D9</f>
        <v>0.12084400000000001</v>
      </c>
      <c r="D15" s="135"/>
      <c r="E15" s="135"/>
      <c r="F15" s="135"/>
      <c r="G15" s="135" t="s">
        <v>85</v>
      </c>
    </row>
    <row r="16" spans="2:9" x14ac:dyDescent="0.3">
      <c r="B16" s="139" t="s">
        <v>135</v>
      </c>
      <c r="C16" s="145">
        <f>'Financial Model DDM (4)'!G12</f>
        <v>-0.11026108885022701</v>
      </c>
      <c r="D16" s="135"/>
      <c r="E16" s="135"/>
      <c r="F16" s="135"/>
      <c r="G16" s="135" t="s">
        <v>136</v>
      </c>
    </row>
    <row r="17" spans="2:7" x14ac:dyDescent="0.3">
      <c r="B17" s="139" t="s">
        <v>137</v>
      </c>
      <c r="C17" s="146">
        <f>'Financial Model DDM (4)'!H12</f>
        <v>0.06</v>
      </c>
      <c r="D17" s="135"/>
      <c r="E17" s="135"/>
      <c r="F17" s="135"/>
      <c r="G17" s="135" t="s">
        <v>138</v>
      </c>
    </row>
    <row r="18" spans="2:7" x14ac:dyDescent="0.3">
      <c r="B18" s="139" t="s">
        <v>139</v>
      </c>
      <c r="C18" s="146">
        <f>'Financial Model DDM (4)'!D16</f>
        <v>0.19</v>
      </c>
      <c r="D18" s="135"/>
      <c r="E18" s="135"/>
      <c r="F18" s="135"/>
      <c r="G18" s="135" t="s">
        <v>140</v>
      </c>
    </row>
    <row r="19" spans="2:7" x14ac:dyDescent="0.3">
      <c r="B19" s="139" t="s">
        <v>141</v>
      </c>
      <c r="C19" s="146">
        <f>'Financial Model DDM (4)'!G18</f>
        <v>3.8406999999999997E-2</v>
      </c>
      <c r="D19" s="135"/>
      <c r="E19" s="135"/>
      <c r="F19" s="135"/>
      <c r="G19" s="135" t="str">
        <f>"Estimasi pasca-dekonsolidasi BSI (lapkeu interim Q2 2026). Historis "&amp;TEXT('Financial Model DDM (4)'!D18,"0.0%")&amp;" / "&amp;TEXT('Financial Model DDM (4)'!E18,"0.0%")&amp;" / "&amp;TEXT('Financial Model DDM (4)'!F18,"0.0%")&amp;", mayoritas dari minoritas BSI."</f>
        <v>Estimasi pasca-dekonsolidasi BSI (lapkeu interim Q2 2026). Historis 8.3% / 8.8% / 8.2%, mayoritas dari minoritas BSI.</v>
      </c>
    </row>
    <row r="20" spans="2:7" x14ac:dyDescent="0.3">
      <c r="B20" s="139" t="s">
        <v>87</v>
      </c>
      <c r="C20" s="147">
        <f>'Financial Model DDM (4)'!D19</f>
        <v>0.7</v>
      </c>
      <c r="D20" s="135"/>
      <c r="E20" s="135"/>
      <c r="F20" s="135"/>
      <c r="G20" s="135" t="s">
        <v>142</v>
      </c>
    </row>
    <row r="21" spans="2:7" x14ac:dyDescent="0.3">
      <c r="B21" s="139" t="s">
        <v>35</v>
      </c>
      <c r="C21" s="142">
        <f>'Financial Model DDM (4)'!D53</f>
        <v>0.05</v>
      </c>
      <c r="D21" s="135"/>
      <c r="E21" s="135"/>
      <c r="F21" s="135"/>
      <c r="G21" s="135" t="s">
        <v>143</v>
      </c>
    </row>
    <row r="22" spans="2:7" x14ac:dyDescent="0.3">
      <c r="B22" s="135"/>
      <c r="C22" s="135"/>
      <c r="D22" s="135"/>
      <c r="E22" s="135"/>
      <c r="F22" s="135"/>
      <c r="G22" s="135"/>
    </row>
    <row r="23" spans="2:7" x14ac:dyDescent="0.3">
      <c r="B23" s="136" t="s">
        <v>88</v>
      </c>
      <c r="C23" s="141" t="s">
        <v>89</v>
      </c>
      <c r="D23" s="141" t="s">
        <v>90</v>
      </c>
      <c r="E23" s="137"/>
      <c r="F23" s="137"/>
      <c r="G23" s="137"/>
    </row>
    <row r="24" spans="2:7" x14ac:dyDescent="0.3">
      <c r="B24" s="139" t="s">
        <v>91</v>
      </c>
      <c r="C24" s="138">
        <f>'Financial Model DDM (4)'!D62</f>
        <v>1825.7076088634494</v>
      </c>
      <c r="D24" s="146">
        <f>C24/$C$27</f>
        <v>0.27449430084907933</v>
      </c>
      <c r="E24" s="135"/>
      <c r="F24" s="135"/>
      <c r="G24" s="135" t="s">
        <v>144</v>
      </c>
    </row>
    <row r="25" spans="2:7" x14ac:dyDescent="0.3">
      <c r="B25" s="148" t="s">
        <v>92</v>
      </c>
      <c r="C25" s="149">
        <f>'Financial Model DDM (4)'!D64</f>
        <v>8536.1999364647763</v>
      </c>
      <c r="D25" s="135"/>
      <c r="E25" s="135"/>
      <c r="F25" s="135"/>
      <c r="G25" s="95" t="str">
        <f>"Implied terminal P/BV "&amp;TEXT(C25/'Financial Model DDM (4)'!K44,"0.00")&amp;"x vs rata-rata peers "&amp;TEXT('Financial Model DDM (4)'!D73,"0.00")&amp;"x - cek silang kewajaran g"</f>
        <v>Implied terminal P/BV 2.03x vs rata-rata peers 1.75x - cek silang kewajaran g</v>
      </c>
    </row>
    <row r="26" spans="2:7" x14ac:dyDescent="0.3">
      <c r="B26" s="135" t="s">
        <v>93</v>
      </c>
      <c r="C26" s="138">
        <f>'Financial Model DDM (4)'!D65</f>
        <v>4825.4600227270084</v>
      </c>
      <c r="D26" s="146">
        <f>C26/$C$27</f>
        <v>0.72550569915092067</v>
      </c>
      <c r="E26" s="135"/>
      <c r="F26" s="135"/>
      <c r="G26" s="135" t="s">
        <v>145</v>
      </c>
    </row>
    <row r="27" spans="2:7" x14ac:dyDescent="0.3">
      <c r="B27" s="154" t="s">
        <v>94</v>
      </c>
      <c r="C27" s="155">
        <f>'Financial Model DDM (4)'!D66</f>
        <v>6651.1676315904579</v>
      </c>
      <c r="D27" s="157">
        <f>C24/C27+C26/C27</f>
        <v>1</v>
      </c>
      <c r="E27" s="135"/>
      <c r="F27" s="135"/>
      <c r="G27" s="135"/>
    </row>
    <row r="28" spans="2:7" x14ac:dyDescent="0.3">
      <c r="B28" s="150" t="s">
        <v>95</v>
      </c>
      <c r="C28" s="149">
        <f>'Financial Model DDM (4)'!D55</f>
        <v>6439.0248092866459</v>
      </c>
      <c r="D28" s="135"/>
      <c r="E28" s="135"/>
      <c r="F28" s="135"/>
      <c r="G28" s="95" t="s">
        <v>146</v>
      </c>
    </row>
    <row r="29" spans="2:7" x14ac:dyDescent="0.3">
      <c r="B29" s="135"/>
      <c r="C29" s="135"/>
      <c r="D29" s="135"/>
      <c r="E29" s="135"/>
      <c r="F29" s="135"/>
      <c r="G29" s="135"/>
    </row>
    <row r="30" spans="2:7" x14ac:dyDescent="0.3">
      <c r="B30" s="136" t="s">
        <v>96</v>
      </c>
      <c r="C30" s="141" t="s">
        <v>97</v>
      </c>
      <c r="D30" s="141" t="s">
        <v>41</v>
      </c>
      <c r="E30" s="141" t="s">
        <v>98</v>
      </c>
      <c r="F30" s="137"/>
      <c r="G30" s="137"/>
    </row>
    <row r="31" spans="2:7" x14ac:dyDescent="0.3">
      <c r="B31" s="135" t="s">
        <v>99</v>
      </c>
      <c r="C31" s="138">
        <f>'Financial Model DDM (4)'!D78</f>
        <v>6651.1676315904579</v>
      </c>
      <c r="D31" s="147">
        <f>'Financial Model DDM (4)'!E78</f>
        <v>0.2</v>
      </c>
      <c r="E31" s="138">
        <f>C31*D31</f>
        <v>1330.2335263180917</v>
      </c>
      <c r="F31" s="135"/>
      <c r="G31" s="135" t="s">
        <v>105</v>
      </c>
    </row>
    <row r="32" spans="2:7" x14ac:dyDescent="0.3">
      <c r="B32" s="135" t="s">
        <v>100</v>
      </c>
      <c r="C32" s="138">
        <f>'Financial Model DDM (4)'!D79</f>
        <v>5325.9359999999997</v>
      </c>
      <c r="D32" s="147">
        <f>'Financial Model DDM (4)'!E79</f>
        <v>0.6</v>
      </c>
      <c r="E32" s="138">
        <f>C32*D32</f>
        <v>3195.5615999999995</v>
      </c>
      <c r="F32" s="135"/>
      <c r="G32" s="95" t="str">
        <f>"Rata-rata P/BV peers "&amp;TEXT('Financial Model DDM (4)'!D73,"0.00")&amp;"x x BVPS 2025 "&amp;TEXT('Financial Model DDM (4)'!D74,"#,##0")</f>
        <v>Rata-rata P/BV peers 1.75x x BVPS 2025 3,049</v>
      </c>
    </row>
    <row r="33" spans="2:7" x14ac:dyDescent="0.3">
      <c r="B33" s="135" t="s">
        <v>101</v>
      </c>
      <c r="C33" s="138">
        <f>'Financial Model DDM (4)'!D80</f>
        <v>5533.0936104860893</v>
      </c>
      <c r="D33" s="147">
        <f>'Financial Model DDM (4)'!E80</f>
        <v>0.2</v>
      </c>
      <c r="E33" s="138">
        <f>C33*D33</f>
        <v>1106.6187220972179</v>
      </c>
      <c r="F33" s="135"/>
      <c r="G33" s="95" t="str">
        <f>"Rata-rata P/E peers "&amp;TEXT('Financial Model DDM (4)'!E73,"0.00")&amp;"x x EPS 2025 "&amp;TEXT('Financial Model DDM (4)'!E74,"#,##0")</f>
        <v>Rata-rata P/E peers 9.17x x EPS 2025 603</v>
      </c>
    </row>
    <row r="34" spans="2:7" x14ac:dyDescent="0.3">
      <c r="B34" s="158" t="s">
        <v>102</v>
      </c>
      <c r="C34" s="159"/>
      <c r="D34" s="160">
        <f>SUM(D31:D33)</f>
        <v>1</v>
      </c>
      <c r="E34" s="161">
        <f>SUM(E31:E33)</f>
        <v>5632.4138484153091</v>
      </c>
      <c r="F34" s="135"/>
      <c r="G34" s="135"/>
    </row>
    <row r="35" spans="2:7" x14ac:dyDescent="0.3">
      <c r="B35" s="135" t="s">
        <v>103</v>
      </c>
      <c r="C35" s="135"/>
      <c r="D35" s="135"/>
      <c r="E35" s="138">
        <f>$C$6</f>
        <v>4200</v>
      </c>
      <c r="F35" s="135"/>
      <c r="G35" s="135"/>
    </row>
    <row r="36" spans="2:7" x14ac:dyDescent="0.3">
      <c r="B36" s="158" t="s">
        <v>104</v>
      </c>
      <c r="C36" s="159"/>
      <c r="D36" s="159"/>
      <c r="E36" s="162">
        <f>E34/E35-1</f>
        <v>0.34105091628935935</v>
      </c>
      <c r="F36" s="135"/>
      <c r="G36" s="135"/>
    </row>
    <row r="37" spans="2:7" x14ac:dyDescent="0.3">
      <c r="B37" s="135"/>
      <c r="C37" s="135"/>
      <c r="D37" s="135"/>
      <c r="E37" s="135"/>
      <c r="F37" s="135"/>
      <c r="G37" s="135"/>
    </row>
    <row r="38" spans="2:7" x14ac:dyDescent="0.3">
      <c r="B38" s="136" t="s">
        <v>106</v>
      </c>
      <c r="C38" s="141" t="s">
        <v>44</v>
      </c>
      <c r="D38" s="137"/>
      <c r="E38" s="137"/>
      <c r="F38" s="137"/>
      <c r="G38" s="137"/>
    </row>
    <row r="39" spans="2:7" x14ac:dyDescent="0.3">
      <c r="B39" s="135" t="s">
        <v>61</v>
      </c>
      <c r="C39" s="142">
        <f>'Financial Model DDM (4)'!D50</f>
        <v>0.19541644235140027</v>
      </c>
      <c r="D39" s="135"/>
      <c r="E39" s="135"/>
      <c r="F39" s="135"/>
      <c r="G39" s="135" t="s">
        <v>147</v>
      </c>
    </row>
    <row r="40" spans="2:7" x14ac:dyDescent="0.3">
      <c r="B40" s="135" t="s">
        <v>59</v>
      </c>
      <c r="C40" s="146">
        <f>'Financial Model DDM (4)'!D51</f>
        <v>0.30000000000000004</v>
      </c>
      <c r="D40" s="135"/>
      <c r="E40" s="135"/>
      <c r="F40" s="135"/>
      <c r="G40" s="135"/>
    </row>
    <row r="41" spans="2:7" x14ac:dyDescent="0.3">
      <c r="B41" s="139" t="s">
        <v>107</v>
      </c>
      <c r="C41" s="144">
        <f>'Financial Model DDM (4)'!D52</f>
        <v>5.8624932705420088E-2</v>
      </c>
      <c r="D41" s="135"/>
      <c r="E41" s="135"/>
      <c r="F41" s="135"/>
      <c r="G41" s="135" t="s">
        <v>148</v>
      </c>
    </row>
    <row r="42" spans="2:7" x14ac:dyDescent="0.3">
      <c r="B42" s="135" t="s">
        <v>108</v>
      </c>
      <c r="C42" s="142">
        <f>$C$21</f>
        <v>0.05</v>
      </c>
      <c r="D42" s="135"/>
      <c r="E42" s="135"/>
      <c r="F42" s="135"/>
      <c r="G42" s="135"/>
    </row>
    <row r="43" spans="2:7" x14ac:dyDescent="0.3">
      <c r="B43" s="135" t="s">
        <v>109</v>
      </c>
      <c r="C43" s="142">
        <f>C41-C42</f>
        <v>8.6249327054200853E-3</v>
      </c>
      <c r="D43" s="135"/>
      <c r="E43" s="135"/>
      <c r="F43" s="135"/>
      <c r="G43" s="135"/>
    </row>
    <row r="44" spans="2:7" x14ac:dyDescent="0.3">
      <c r="B44" s="135" t="s">
        <v>149</v>
      </c>
      <c r="C44" s="142">
        <f>$C$15</f>
        <v>0.12084400000000001</v>
      </c>
      <c r="D44" s="135"/>
      <c r="E44" s="135"/>
      <c r="F44" s="135"/>
      <c r="G44" s="135" t="s">
        <v>150</v>
      </c>
    </row>
    <row r="45" spans="2:7" x14ac:dyDescent="0.3">
      <c r="B45" s="139" t="s">
        <v>110</v>
      </c>
      <c r="C45" s="140" t="str">
        <f>'Financial Model DDM (4)'!D56</f>
        <v>OK</v>
      </c>
      <c r="D45" s="135"/>
      <c r="E45" s="135"/>
      <c r="F45" s="135"/>
      <c r="G45" s="171" t="s">
        <v>280</v>
      </c>
    </row>
    <row r="46" spans="2:7" x14ac:dyDescent="0.3">
      <c r="B46" s="135"/>
      <c r="C46" s="135"/>
      <c r="D46" s="135"/>
      <c r="E46" s="135"/>
      <c r="F46" s="135"/>
      <c r="G46" s="135"/>
    </row>
    <row r="47" spans="2:7" x14ac:dyDescent="0.3">
      <c r="B47" s="136" t="s">
        <v>161</v>
      </c>
      <c r="C47" s="141" t="s">
        <v>44</v>
      </c>
      <c r="D47" s="141" t="s">
        <v>151</v>
      </c>
      <c r="E47" s="137"/>
      <c r="F47" s="137"/>
      <c r="G47" s="137"/>
    </row>
    <row r="48" spans="2:7" x14ac:dyDescent="0.3">
      <c r="B48" s="135" t="s">
        <v>152</v>
      </c>
      <c r="C48" s="138">
        <f>'Financial Model DDM (4)'!D136</f>
        <v>5278.9519467632235</v>
      </c>
      <c r="D48" s="145">
        <f>C48/$C$6-1</f>
        <v>0.25689332065791026</v>
      </c>
      <c r="E48" s="135"/>
      <c r="F48" s="135"/>
      <c r="G48" s="95" t="str">
        <f>"Setara beta "&amp;TEXT(MAX('Financial Model DDM (4)'!B128:B134),"0.00")&amp;" (vs "&amp;TEXT($C$13,"0.00")&amp;" dipakai) dengan g "&amp;TEXT(MIN('Financial Model DDM (4)'!D127:J127),"0.0%")</f>
        <v>Setara beta 0.98 (vs 0.76 dipakai) dengan g 3.5%</v>
      </c>
    </row>
    <row r="49" spans="2:7" x14ac:dyDescent="0.3">
      <c r="B49" s="139" t="s">
        <v>153</v>
      </c>
      <c r="C49" s="151">
        <f>'Financial Model DDM (4)'!G131</f>
        <v>5632.4138484153091</v>
      </c>
      <c r="D49" s="152">
        <f>C49/$C$6-1</f>
        <v>0.34105091628935935</v>
      </c>
      <c r="E49" s="135"/>
      <c r="F49" s="135"/>
      <c r="G49" s="95" t="s">
        <v>160</v>
      </c>
    </row>
    <row r="50" spans="2:7" x14ac:dyDescent="0.3">
      <c r="B50" s="135" t="s">
        <v>154</v>
      </c>
      <c r="C50" s="138">
        <f>'Financial Model DDM (4)'!D137</f>
        <v>6127.1605067713399</v>
      </c>
      <c r="D50" s="145">
        <f>C50/$C$6-1</f>
        <v>0.45884773970746195</v>
      </c>
      <c r="E50" s="135"/>
      <c r="F50" s="135"/>
      <c r="G50" s="95" t="s">
        <v>155</v>
      </c>
    </row>
    <row r="51" spans="2:7" x14ac:dyDescent="0.3">
      <c r="B51" s="139" t="s">
        <v>159</v>
      </c>
      <c r="C51" s="153" t="str">
        <f>'Financial Model DDM (4)'!D138</f>
        <v>BERTAHAN di semua 49 skenario</v>
      </c>
      <c r="D51" s="135"/>
      <c r="E51" s="135"/>
      <c r="F51" s="135"/>
      <c r="G51" s="95" t="s">
        <v>281</v>
      </c>
    </row>
    <row r="52" spans="2:7" x14ac:dyDescent="0.3">
      <c r="B52" s="135" t="s">
        <v>45</v>
      </c>
      <c r="C52" s="146">
        <f>'Financial Model DDM (4)'!D67</f>
        <v>0.72550569915092067</v>
      </c>
      <c r="D52" s="135"/>
      <c r="E52" s="135"/>
      <c r="F52" s="135"/>
      <c r="G52" s="95" t="s">
        <v>156</v>
      </c>
    </row>
    <row r="54" spans="2:7" x14ac:dyDescent="0.3">
      <c r="B54" s="136" t="s">
        <v>262</v>
      </c>
      <c r="C54" s="141" t="s">
        <v>118</v>
      </c>
      <c r="D54" s="141" t="s">
        <v>117</v>
      </c>
      <c r="E54" s="141" t="s">
        <v>263</v>
      </c>
      <c r="F54" s="136"/>
      <c r="G54" s="136" t="s">
        <v>264</v>
      </c>
    </row>
    <row r="55" spans="2:7" x14ac:dyDescent="0.3">
      <c r="B55" s="172" t="s">
        <v>265</v>
      </c>
      <c r="C55" s="173">
        <f>'Financial Model DDM (4)'!K86</f>
        <v>73387</v>
      </c>
      <c r="D55" s="173">
        <f>'Financial Model DDM (4)'!J86</f>
        <v>81638</v>
      </c>
      <c r="E55" s="174">
        <f>C55/D55-1</f>
        <v>-0.1010681300374825</v>
      </c>
      <c r="F55" s="172"/>
      <c r="G55" s="180" t="s">
        <v>266</v>
      </c>
    </row>
    <row r="56" spans="2:7" x14ac:dyDescent="0.3">
      <c r="B56" s="172" t="s">
        <v>267</v>
      </c>
      <c r="C56" s="173">
        <f>-'Financial Model DDM (4)'!K89</f>
        <v>9268</v>
      </c>
      <c r="D56" s="173">
        <f>-'Financial Model DDM (4)'!J89</f>
        <v>19001</v>
      </c>
      <c r="E56" s="174">
        <f>C56/D56-1</f>
        <v>-0.51223619809483711</v>
      </c>
      <c r="F56" s="172"/>
      <c r="G56" s="180" t="s">
        <v>268</v>
      </c>
    </row>
    <row r="57" spans="2:7" x14ac:dyDescent="0.3">
      <c r="B57" s="172" t="s">
        <v>269</v>
      </c>
      <c r="C57" s="173">
        <f>'Financial Model DDM (4)'!K94</f>
        <v>31626</v>
      </c>
      <c r="D57" s="173">
        <f>'Financial Model DDM (4)'!J94</f>
        <v>26852</v>
      </c>
      <c r="E57" s="174">
        <f>C57/D57-1</f>
        <v>0.17778936392075084</v>
      </c>
      <c r="F57" s="172"/>
      <c r="G57" s="180"/>
    </row>
    <row r="58" spans="2:7" x14ac:dyDescent="0.3">
      <c r="B58" s="172" t="s">
        <v>270</v>
      </c>
      <c r="C58" s="175">
        <f>'Financial Model DDM (4)'!K101</f>
        <v>0.19176098156462726</v>
      </c>
      <c r="D58" s="175">
        <f>'Financial Model DDM (4)'!J101</f>
        <v>0.36229645730846965</v>
      </c>
      <c r="E58" s="174">
        <f>C58-D58</f>
        <v>-0.1705354757438424</v>
      </c>
      <c r="F58" s="172"/>
      <c r="G58" s="180" t="s">
        <v>271</v>
      </c>
    </row>
    <row r="59" spans="2:7" x14ac:dyDescent="0.3">
      <c r="B59" s="172" t="s">
        <v>86</v>
      </c>
      <c r="C59" s="175">
        <f>'Financial Model DDM (4)'!K102</f>
        <v>0.1899285366665813</v>
      </c>
      <c r="D59" s="175">
        <f>'Financial Model DDM (4)'!J102</f>
        <v>0.19906937898944102</v>
      </c>
      <c r="E59" s="174">
        <f>C59-D59</f>
        <v>-9.1408423228597213E-3</v>
      </c>
      <c r="F59" s="172"/>
      <c r="G59" s="180" t="s">
        <v>272</v>
      </c>
    </row>
    <row r="60" spans="2:7" x14ac:dyDescent="0.3">
      <c r="B60" s="177" t="s">
        <v>273</v>
      </c>
      <c r="C60" s="178">
        <f>'Financial Model DDM (4)'!F121</f>
        <v>63249.21</v>
      </c>
      <c r="D60" s="176"/>
      <c r="E60" s="176"/>
      <c r="F60" s="172"/>
      <c r="G60" s="180" t="s">
        <v>274</v>
      </c>
    </row>
    <row r="61" spans="2:7" x14ac:dyDescent="0.3">
      <c r="B61" s="172" t="s">
        <v>275</v>
      </c>
      <c r="C61" s="173">
        <f>'Financial Model DDM (4)'!G39</f>
        <v>651.66610512729028</v>
      </c>
      <c r="D61" s="176"/>
      <c r="E61" s="176"/>
      <c r="F61" s="172"/>
      <c r="G61" s="180" t="s">
        <v>276</v>
      </c>
    </row>
    <row r="62" spans="2:7" x14ac:dyDescent="0.3">
      <c r="B62" s="172" t="s">
        <v>277</v>
      </c>
      <c r="C62" s="173">
        <f>'Financial Model DDM (4)'!G40</f>
        <v>456.16627358910318</v>
      </c>
      <c r="D62" s="176"/>
      <c r="E62" s="176"/>
      <c r="F62" s="172"/>
      <c r="G62" s="180" t="str">
        <f>"DPR "&amp;TEXT('Financial Model DDM (4)'!D19,"0%")&amp;" x EPS 2026"</f>
        <v>DPR 70% x EPS 2026</v>
      </c>
    </row>
    <row r="63" spans="2:7" x14ac:dyDescent="0.3">
      <c r="B63" s="177" t="s">
        <v>278</v>
      </c>
      <c r="C63" s="179" t="str">
        <f>'Financial Model DDM (4)'!D123</f>
        <v>OK - build-up = laporan laba rugi</v>
      </c>
      <c r="D63" s="172"/>
      <c r="E63" s="172"/>
      <c r="F63" s="172"/>
      <c r="G63" s="180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 Model DDM (4)</vt:lpstr>
      <vt:lpstr>Summary DDM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2026-08-25T15:01:22Z</dcterms:created>
  <dcterms:modified xsi:type="dcterms:W3CDTF">2026-10-14T18:49:24Z</dcterms:modified>
</cp:coreProperties>
</file>